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2E61A40D-3C7E-4274-B3B7-C9294F864F33}" xr6:coauthVersionLast="47" xr6:coauthVersionMax="47" xr10:uidLastSave="{00000000-0000-0000-0000-000000000000}"/>
  <bookViews>
    <workbookView xWindow="-108" yWindow="-108" windowWidth="23256" windowHeight="12456" xr2:uid="{84D52671-9BE4-4FC6-83EE-B8296F878E14}"/>
  </bookViews>
  <sheets>
    <sheet name="Mutu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C6" i="1"/>
  <c r="C7" i="1"/>
  <c r="F11" i="1" l="1"/>
  <c r="D11" i="1"/>
  <c r="E11" i="1" s="1"/>
  <c r="G11" i="1" s="1"/>
  <c r="D12" i="1" s="1"/>
  <c r="C12" i="1" l="1"/>
  <c r="F12" i="1" s="1"/>
  <c r="E12" i="1" s="1"/>
  <c r="G12" i="1" s="1"/>
  <c r="D13" i="1" s="1"/>
  <c r="C13" i="1" l="1"/>
  <c r="F13" i="1" s="1"/>
  <c r="E13" i="1" s="1"/>
  <c r="G13" i="1" s="1"/>
  <c r="D14" i="1" s="1"/>
  <c r="C14" i="1" l="1"/>
  <c r="F14" i="1" s="1"/>
  <c r="E14" i="1" l="1"/>
  <c r="G14" i="1" s="1"/>
  <c r="D15" i="1" s="1"/>
  <c r="C15" i="1" l="1"/>
  <c r="F15" i="1" s="1"/>
  <c r="E15" i="1" s="1"/>
  <c r="G15" i="1" l="1"/>
  <c r="D16" i="1" s="1"/>
  <c r="C16" i="1" l="1"/>
  <c r="F16" i="1" s="1"/>
  <c r="E16" i="1" l="1"/>
  <c r="G16" i="1" s="1"/>
  <c r="D17" i="1" s="1"/>
  <c r="C17" i="1" l="1"/>
  <c r="F17" i="1" s="1"/>
  <c r="E17" i="1" l="1"/>
  <c r="G17" i="1" s="1"/>
  <c r="D18" i="1" s="1"/>
  <c r="C18" i="1" l="1"/>
  <c r="F18" i="1" s="1"/>
  <c r="E18" i="1" l="1"/>
  <c r="G18" i="1" s="1"/>
  <c r="D19" i="1" s="1"/>
  <c r="C19" i="1" l="1"/>
  <c r="F19" i="1" s="1"/>
  <c r="E19" i="1" l="1"/>
  <c r="G19" i="1" s="1"/>
  <c r="D20" i="1" s="1"/>
  <c r="C20" i="1" l="1"/>
  <c r="F20" i="1" s="1"/>
  <c r="E20" i="1" l="1"/>
  <c r="G20" i="1" s="1"/>
  <c r="D21" i="1" s="1"/>
  <c r="C21" i="1" l="1"/>
  <c r="F21" i="1" s="1"/>
  <c r="E21" i="1" l="1"/>
  <c r="G21" i="1" s="1"/>
  <c r="D22" i="1" s="1"/>
  <c r="C22" i="1" l="1"/>
  <c r="F22" i="1" s="1"/>
  <c r="E22" i="1" l="1"/>
  <c r="G22" i="1" s="1"/>
  <c r="D23" i="1" s="1"/>
  <c r="C23" i="1" l="1"/>
  <c r="F23" i="1" s="1"/>
  <c r="E23" i="1" l="1"/>
  <c r="G23" i="1" s="1"/>
  <c r="D24" i="1" s="1"/>
  <c r="C24" i="1" l="1"/>
  <c r="F24" i="1" s="1"/>
  <c r="E24" i="1" l="1"/>
  <c r="G24" i="1" s="1"/>
  <c r="D25" i="1" s="1"/>
  <c r="C25" i="1" l="1"/>
  <c r="F25" i="1" s="1"/>
  <c r="E25" i="1" l="1"/>
  <c r="G25" i="1" s="1"/>
  <c r="D26" i="1" s="1"/>
  <c r="C26" i="1" l="1"/>
  <c r="F26" i="1" s="1"/>
  <c r="E26" i="1" l="1"/>
  <c r="G26" i="1" s="1"/>
  <c r="D27" i="1" s="1"/>
  <c r="C27" i="1" l="1"/>
  <c r="F27" i="1" s="1"/>
  <c r="E27" i="1" l="1"/>
  <c r="G27" i="1" s="1"/>
  <c r="D28" i="1" s="1"/>
  <c r="C28" i="1" l="1"/>
  <c r="F28" i="1" s="1"/>
  <c r="E28" i="1" l="1"/>
  <c r="G28" i="1" s="1"/>
  <c r="D29" i="1" s="1"/>
  <c r="C29" i="1" l="1"/>
  <c r="F29" i="1" s="1"/>
  <c r="E29" i="1" l="1"/>
  <c r="G29" i="1" s="1"/>
  <c r="D30" i="1" s="1"/>
  <c r="C30" i="1" l="1"/>
  <c r="F30" i="1" s="1"/>
  <c r="E30" i="1" l="1"/>
  <c r="G30" i="1" s="1"/>
  <c r="D31" i="1" s="1"/>
  <c r="C31" i="1" l="1"/>
  <c r="F31" i="1" s="1"/>
  <c r="E31" i="1" l="1"/>
  <c r="G31" i="1" s="1"/>
  <c r="D32" i="1" s="1"/>
  <c r="C32" i="1" l="1"/>
  <c r="F32" i="1" s="1"/>
  <c r="E32" i="1" l="1"/>
  <c r="G32" i="1" s="1"/>
  <c r="D33" i="1" s="1"/>
  <c r="C33" i="1" l="1"/>
  <c r="F33" i="1" s="1"/>
  <c r="E33" i="1" l="1"/>
  <c r="G33" i="1" s="1"/>
  <c r="D34" i="1" s="1"/>
  <c r="C34" i="1" l="1"/>
  <c r="F34" i="1" s="1"/>
  <c r="E34" i="1" l="1"/>
  <c r="G34" i="1" s="1"/>
  <c r="D35" i="1" s="1"/>
  <c r="C35" i="1" l="1"/>
  <c r="F35" i="1" s="1"/>
  <c r="E35" i="1" l="1"/>
  <c r="G35" i="1" s="1"/>
  <c r="D36" i="1" s="1"/>
  <c r="C36" i="1" l="1"/>
  <c r="F36" i="1" s="1"/>
  <c r="E36" i="1" l="1"/>
  <c r="G36" i="1" s="1"/>
  <c r="D37" i="1" s="1"/>
  <c r="C37" i="1" l="1"/>
  <c r="F37" i="1" s="1"/>
  <c r="E37" i="1" l="1"/>
  <c r="G37" i="1" s="1"/>
  <c r="D38" i="1" s="1"/>
  <c r="C38" i="1" l="1"/>
  <c r="F38" i="1" s="1"/>
  <c r="E38" i="1" l="1"/>
  <c r="G38" i="1" s="1"/>
  <c r="D39" i="1" s="1"/>
  <c r="C39" i="1" l="1"/>
  <c r="F39" i="1" s="1"/>
  <c r="E39" i="1" l="1"/>
  <c r="G39" i="1" s="1"/>
  <c r="D40" i="1" s="1"/>
  <c r="C40" i="1" l="1"/>
  <c r="F40" i="1" s="1"/>
  <c r="E40" i="1" l="1"/>
  <c r="G40" i="1" s="1"/>
  <c r="D41" i="1" s="1"/>
  <c r="C41" i="1" l="1"/>
  <c r="F41" i="1" s="1"/>
  <c r="E41" i="1" l="1"/>
  <c r="G41" i="1" s="1"/>
  <c r="D42" i="1" s="1"/>
  <c r="C42" i="1" l="1"/>
  <c r="F42" i="1" s="1"/>
  <c r="E42" i="1" l="1"/>
  <c r="G42" i="1" s="1"/>
  <c r="D43" i="1" s="1"/>
  <c r="C43" i="1" l="1"/>
  <c r="F43" i="1" s="1"/>
  <c r="E43" i="1" l="1"/>
  <c r="G43" i="1" s="1"/>
  <c r="D44" i="1" s="1"/>
  <c r="C44" i="1" l="1"/>
  <c r="F44" i="1" s="1"/>
  <c r="E44" i="1" l="1"/>
  <c r="G44" i="1" s="1"/>
  <c r="D45" i="1" s="1"/>
  <c r="C45" i="1" l="1"/>
  <c r="F45" i="1" s="1"/>
  <c r="E45" i="1" l="1"/>
  <c r="G45" i="1" s="1"/>
  <c r="D46" i="1" s="1"/>
  <c r="C46" i="1" l="1"/>
  <c r="F46" i="1" l="1"/>
  <c r="E46" i="1" s="1"/>
  <c r="G46" i="1" s="1"/>
  <c r="D47" i="1" s="1"/>
  <c r="C47" i="1" l="1"/>
  <c r="F47" i="1" s="1"/>
  <c r="E47" i="1" l="1"/>
  <c r="G47" i="1" s="1"/>
  <c r="D48" i="1" s="1"/>
  <c r="C48" i="1" l="1"/>
  <c r="F48" i="1" s="1"/>
  <c r="E48" i="1" l="1"/>
  <c r="G48" i="1" s="1"/>
  <c r="D49" i="1" s="1"/>
  <c r="C49" i="1" l="1"/>
  <c r="F49" i="1" l="1"/>
  <c r="E49" i="1" s="1"/>
  <c r="G49" i="1" s="1"/>
  <c r="D50" i="1" s="1"/>
  <c r="C50" i="1" l="1"/>
  <c r="F50" i="1" l="1"/>
  <c r="E50" i="1" s="1"/>
  <c r="G50" i="1" s="1"/>
  <c r="D51" i="1" s="1"/>
  <c r="C51" i="1" l="1"/>
  <c r="F51" i="1" s="1"/>
  <c r="E51" i="1" l="1"/>
  <c r="G51" i="1" s="1"/>
  <c r="D52" i="1" s="1"/>
  <c r="C52" i="1" l="1"/>
  <c r="F52" i="1" s="1"/>
  <c r="E52" i="1" l="1"/>
  <c r="G52" i="1" s="1"/>
  <c r="D53" i="1" s="1"/>
  <c r="C53" i="1" l="1"/>
  <c r="F53" i="1" s="1"/>
  <c r="E53" i="1" l="1"/>
  <c r="G53" i="1" s="1"/>
  <c r="D54" i="1" s="1"/>
  <c r="C54" i="1" l="1"/>
  <c r="F54" i="1" s="1"/>
  <c r="E54" i="1" l="1"/>
  <c r="G54" i="1" s="1"/>
  <c r="D55" i="1" s="1"/>
  <c r="C55" i="1" l="1"/>
  <c r="F55" i="1" s="1"/>
  <c r="E55" i="1" l="1"/>
  <c r="G55" i="1" s="1"/>
  <c r="D56" i="1" s="1"/>
  <c r="C56" i="1" l="1"/>
  <c r="F56" i="1" s="1"/>
  <c r="E56" i="1" l="1"/>
  <c r="G56" i="1" s="1"/>
  <c r="D57" i="1" s="1"/>
  <c r="C57" i="1" l="1"/>
  <c r="F57" i="1" s="1"/>
  <c r="E57" i="1" l="1"/>
  <c r="G57" i="1" s="1"/>
  <c r="D58" i="1" s="1"/>
  <c r="C58" i="1" l="1"/>
  <c r="F58" i="1" s="1"/>
  <c r="E58" i="1" l="1"/>
  <c r="G58" i="1" s="1"/>
  <c r="D59" i="1" s="1"/>
  <c r="C59" i="1" l="1"/>
  <c r="F59" i="1" s="1"/>
  <c r="E59" i="1" l="1"/>
  <c r="G59" i="1" s="1"/>
  <c r="D60" i="1" s="1"/>
  <c r="C60" i="1" l="1"/>
  <c r="F60" i="1" s="1"/>
  <c r="E60" i="1" l="1"/>
  <c r="G60" i="1" s="1"/>
  <c r="D61" i="1" s="1"/>
  <c r="C61" i="1" l="1"/>
  <c r="F61" i="1" s="1"/>
  <c r="E61" i="1" l="1"/>
  <c r="G61" i="1" s="1"/>
  <c r="D62" i="1" s="1"/>
  <c r="C62" i="1" l="1"/>
  <c r="F62" i="1" s="1"/>
  <c r="E62" i="1" l="1"/>
  <c r="G62" i="1" s="1"/>
  <c r="D63" i="1" s="1"/>
  <c r="C63" i="1" l="1"/>
  <c r="F63" i="1" s="1"/>
  <c r="E63" i="1" l="1"/>
  <c r="G63" i="1" s="1"/>
  <c r="D64" i="1" s="1"/>
  <c r="C64" i="1" l="1"/>
  <c r="F64" i="1" s="1"/>
  <c r="E64" i="1" l="1"/>
  <c r="G64" i="1" s="1"/>
  <c r="D65" i="1" s="1"/>
  <c r="C65" i="1" l="1"/>
  <c r="F65" i="1" s="1"/>
  <c r="E65" i="1" l="1"/>
  <c r="G65" i="1" s="1"/>
  <c r="D66" i="1" s="1"/>
  <c r="C66" i="1" l="1"/>
  <c r="F66" i="1" s="1"/>
  <c r="E66" i="1" l="1"/>
  <c r="G66" i="1" s="1"/>
  <c r="D67" i="1" s="1"/>
  <c r="C67" i="1" l="1"/>
  <c r="F67" i="1" s="1"/>
  <c r="E67" i="1" l="1"/>
  <c r="G67" i="1" s="1"/>
  <c r="D68" i="1" s="1"/>
  <c r="C68" i="1" l="1"/>
  <c r="F68" i="1" s="1"/>
  <c r="E68" i="1" l="1"/>
  <c r="G68" i="1" s="1"/>
  <c r="D69" i="1" s="1"/>
  <c r="C69" i="1" l="1"/>
  <c r="F69" i="1" s="1"/>
  <c r="E69" i="1" l="1"/>
  <c r="G69" i="1" s="1"/>
  <c r="D70" i="1" s="1"/>
  <c r="C70" i="1" l="1"/>
  <c r="F70" i="1" s="1"/>
  <c r="E70" i="1" l="1"/>
  <c r="G70" i="1" s="1"/>
  <c r="D71" i="1" s="1"/>
  <c r="C71" i="1" l="1"/>
  <c r="F71" i="1" s="1"/>
  <c r="E71" i="1" l="1"/>
  <c r="G71" i="1" s="1"/>
  <c r="D72" i="1" s="1"/>
  <c r="C72" i="1" l="1"/>
  <c r="F72" i="1" s="1"/>
  <c r="E72" i="1" l="1"/>
  <c r="G72" i="1" s="1"/>
  <c r="D73" i="1" s="1"/>
  <c r="C73" i="1" l="1"/>
  <c r="F73" i="1" s="1"/>
  <c r="E73" i="1" l="1"/>
  <c r="G73" i="1" s="1"/>
  <c r="D74" i="1" s="1"/>
  <c r="C74" i="1" l="1"/>
  <c r="F74" i="1" s="1"/>
  <c r="E74" i="1" l="1"/>
  <c r="G74" i="1" s="1"/>
  <c r="D75" i="1" s="1"/>
  <c r="C75" i="1" l="1"/>
  <c r="F75" i="1" s="1"/>
  <c r="E75" i="1" l="1"/>
  <c r="G75" i="1" s="1"/>
  <c r="D76" i="1" s="1"/>
  <c r="C76" i="1" l="1"/>
  <c r="F76" i="1" s="1"/>
  <c r="E76" i="1" l="1"/>
  <c r="G76" i="1" s="1"/>
  <c r="D77" i="1" s="1"/>
  <c r="C77" i="1" l="1"/>
  <c r="F77" i="1" s="1"/>
  <c r="E77" i="1" l="1"/>
  <c r="G77" i="1" s="1"/>
  <c r="D78" i="1" s="1"/>
  <c r="C78" i="1" l="1"/>
  <c r="F78" i="1" s="1"/>
  <c r="E78" i="1" l="1"/>
  <c r="G78" i="1" s="1"/>
  <c r="D79" i="1" s="1"/>
  <c r="C79" i="1" l="1"/>
  <c r="F79" i="1" s="1"/>
  <c r="E79" i="1" l="1"/>
  <c r="G79" i="1" s="1"/>
  <c r="D80" i="1" s="1"/>
  <c r="C80" i="1" l="1"/>
  <c r="F80" i="1" s="1"/>
  <c r="E80" i="1" l="1"/>
  <c r="G80" i="1" s="1"/>
  <c r="D81" i="1" s="1"/>
  <c r="C81" i="1" l="1"/>
  <c r="F81" i="1" s="1"/>
  <c r="E81" i="1" l="1"/>
  <c r="G81" i="1" s="1"/>
  <c r="D82" i="1" s="1"/>
  <c r="C82" i="1" l="1"/>
  <c r="F82" i="1" s="1"/>
  <c r="E82" i="1" l="1"/>
  <c r="G82" i="1" s="1"/>
  <c r="D83" i="1" s="1"/>
  <c r="C83" i="1" l="1"/>
  <c r="F83" i="1" s="1"/>
  <c r="E83" i="1" l="1"/>
  <c r="G83" i="1" s="1"/>
  <c r="D84" i="1" s="1"/>
  <c r="C84" i="1" l="1"/>
  <c r="F84" i="1" s="1"/>
  <c r="E84" i="1" l="1"/>
  <c r="G84" i="1" s="1"/>
  <c r="D85" i="1" s="1"/>
  <c r="C85" i="1" l="1"/>
  <c r="F85" i="1" s="1"/>
  <c r="E85" i="1" l="1"/>
  <c r="G85" i="1" s="1"/>
  <c r="D86" i="1" s="1"/>
  <c r="C86" i="1" l="1"/>
  <c r="F86" i="1" l="1"/>
  <c r="E86" i="1" s="1"/>
  <c r="G86" i="1" s="1"/>
  <c r="D87" i="1" s="1"/>
  <c r="C87" i="1" l="1"/>
  <c r="F87" i="1" s="1"/>
  <c r="E87" i="1" l="1"/>
  <c r="G87" i="1" s="1"/>
  <c r="D88" i="1" s="1"/>
  <c r="C88" i="1" l="1"/>
  <c r="F88" i="1" s="1"/>
  <c r="E88" i="1" l="1"/>
  <c r="G88" i="1" s="1"/>
  <c r="D89" i="1" s="1"/>
  <c r="C89" i="1" l="1"/>
  <c r="F89" i="1" s="1"/>
  <c r="E89" i="1" l="1"/>
  <c r="G89" i="1" s="1"/>
  <c r="D90" i="1" s="1"/>
  <c r="C90" i="1" l="1"/>
  <c r="F90" i="1" s="1"/>
  <c r="E90" i="1" l="1"/>
  <c r="G90" i="1" s="1"/>
  <c r="D91" i="1" s="1"/>
  <c r="C91" i="1" l="1"/>
  <c r="F91" i="1" s="1"/>
  <c r="E91" i="1" l="1"/>
  <c r="G91" i="1" s="1"/>
  <c r="D92" i="1" s="1"/>
  <c r="C92" i="1" l="1"/>
  <c r="F92" i="1" s="1"/>
  <c r="E92" i="1" l="1"/>
  <c r="G92" i="1" s="1"/>
  <c r="D93" i="1" s="1"/>
  <c r="C93" i="1" l="1"/>
  <c r="F93" i="1" s="1"/>
  <c r="E93" i="1" l="1"/>
  <c r="G93" i="1" s="1"/>
  <c r="D94" i="1" s="1"/>
  <c r="C94" i="1" l="1"/>
  <c r="F94" i="1" s="1"/>
  <c r="E94" i="1" l="1"/>
  <c r="G94" i="1" s="1"/>
  <c r="D95" i="1" s="1"/>
  <c r="C95" i="1" l="1"/>
  <c r="F95" i="1" s="1"/>
  <c r="E95" i="1" l="1"/>
  <c r="G95" i="1" s="1"/>
  <c r="D96" i="1" s="1"/>
  <c r="C96" i="1" l="1"/>
  <c r="F96" i="1" s="1"/>
  <c r="E96" i="1" l="1"/>
  <c r="G96" i="1" s="1"/>
  <c r="D97" i="1" s="1"/>
  <c r="C97" i="1" l="1"/>
  <c r="F97" i="1" s="1"/>
  <c r="E97" i="1" l="1"/>
  <c r="G97" i="1" s="1"/>
  <c r="D98" i="1" s="1"/>
  <c r="C98" i="1" l="1"/>
  <c r="F98" i="1" l="1"/>
  <c r="E98" i="1" s="1"/>
  <c r="G98" i="1"/>
  <c r="D99" i="1" s="1"/>
  <c r="C99" i="1" l="1"/>
  <c r="F99" i="1" s="1"/>
  <c r="E99" i="1" l="1"/>
  <c r="G99" i="1" s="1"/>
  <c r="D100" i="1" s="1"/>
  <c r="C100" i="1" l="1"/>
  <c r="F100" i="1" s="1"/>
  <c r="E100" i="1" l="1"/>
  <c r="G100" i="1" s="1"/>
  <c r="D101" i="1" s="1"/>
  <c r="C101" i="1" l="1"/>
  <c r="F101" i="1" s="1"/>
  <c r="E101" i="1" l="1"/>
  <c r="G101" i="1" s="1"/>
  <c r="D102" i="1" s="1"/>
  <c r="C102" i="1" l="1"/>
  <c r="F102" i="1" s="1"/>
  <c r="E102" i="1" l="1"/>
  <c r="G102" i="1" s="1"/>
  <c r="D103" i="1" s="1"/>
  <c r="C103" i="1" l="1"/>
  <c r="F103" i="1" l="1"/>
  <c r="E103" i="1" s="1"/>
  <c r="G103" i="1"/>
  <c r="D104" i="1" s="1"/>
  <c r="C104" i="1" l="1"/>
  <c r="F104" i="1" s="1"/>
  <c r="E104" i="1" l="1"/>
  <c r="G104" i="1" s="1"/>
  <c r="D105" i="1" s="1"/>
  <c r="C105" i="1" l="1"/>
  <c r="F105" i="1" s="1"/>
  <c r="E105" i="1" l="1"/>
  <c r="G105" i="1" s="1"/>
  <c r="D106" i="1" s="1"/>
  <c r="C106" i="1" l="1"/>
  <c r="F106" i="1" s="1"/>
  <c r="E106" i="1" l="1"/>
  <c r="G106" i="1" s="1"/>
  <c r="D107" i="1" s="1"/>
  <c r="C107" i="1" l="1"/>
  <c r="F107" i="1" s="1"/>
  <c r="E107" i="1" l="1"/>
  <c r="G107" i="1" s="1"/>
  <c r="D108" i="1" s="1"/>
  <c r="C108" i="1" l="1"/>
  <c r="F108" i="1" s="1"/>
  <c r="E108" i="1" l="1"/>
  <c r="G108" i="1" s="1"/>
  <c r="D109" i="1" s="1"/>
  <c r="C109" i="1" l="1"/>
  <c r="F109" i="1" s="1"/>
  <c r="E109" i="1" l="1"/>
  <c r="G109" i="1" s="1"/>
  <c r="D110" i="1" s="1"/>
  <c r="C110" i="1" l="1"/>
  <c r="F110" i="1" s="1"/>
  <c r="E110" i="1" l="1"/>
  <c r="G110" i="1" s="1"/>
  <c r="D111" i="1" s="1"/>
  <c r="C111" i="1" l="1"/>
  <c r="F111" i="1" s="1"/>
  <c r="E111" i="1" l="1"/>
  <c r="G111" i="1" s="1"/>
  <c r="D112" i="1" s="1"/>
  <c r="C112" i="1" l="1"/>
  <c r="F112" i="1" s="1"/>
  <c r="E112" i="1" l="1"/>
  <c r="G112" i="1" s="1"/>
  <c r="D113" i="1" s="1"/>
  <c r="C113" i="1" l="1"/>
  <c r="F113" i="1" s="1"/>
  <c r="E113" i="1" l="1"/>
  <c r="G113" i="1" s="1"/>
  <c r="D114" i="1" s="1"/>
  <c r="C114" i="1" l="1"/>
  <c r="F114" i="1" s="1"/>
  <c r="E114" i="1" l="1"/>
  <c r="G114" i="1" s="1"/>
  <c r="D115" i="1" s="1"/>
  <c r="C115" i="1" l="1"/>
  <c r="F115" i="1" s="1"/>
  <c r="E115" i="1" l="1"/>
  <c r="G115" i="1" s="1"/>
  <c r="D116" i="1" s="1"/>
  <c r="C116" i="1" l="1"/>
  <c r="F116" i="1" s="1"/>
  <c r="E116" i="1" l="1"/>
  <c r="G116" i="1" s="1"/>
  <c r="D117" i="1" s="1"/>
  <c r="C117" i="1" l="1"/>
  <c r="F117" i="1" s="1"/>
  <c r="E117" i="1" l="1"/>
  <c r="G117" i="1" s="1"/>
  <c r="D118" i="1" s="1"/>
  <c r="C118" i="1" l="1"/>
  <c r="F118" i="1" s="1"/>
  <c r="E118" i="1" l="1"/>
  <c r="G118" i="1" s="1"/>
  <c r="D119" i="1" s="1"/>
  <c r="C119" i="1" l="1"/>
  <c r="F119" i="1" s="1"/>
  <c r="E119" i="1"/>
  <c r="G119" i="1" s="1"/>
  <c r="D120" i="1" s="1"/>
  <c r="C120" i="1" l="1"/>
  <c r="F120" i="1" s="1"/>
  <c r="E120" i="1" l="1"/>
  <c r="G120" i="1" s="1"/>
  <c r="D121" i="1" s="1"/>
  <c r="C121" i="1" l="1"/>
  <c r="F121" i="1" s="1"/>
  <c r="E121" i="1" l="1"/>
  <c r="G121" i="1" s="1"/>
  <c r="D122" i="1" s="1"/>
  <c r="C122" i="1" l="1"/>
  <c r="F122" i="1" s="1"/>
  <c r="E122" i="1" l="1"/>
  <c r="G122" i="1" s="1"/>
  <c r="D123" i="1" s="1"/>
  <c r="C123" i="1" l="1"/>
  <c r="F123" i="1" s="1"/>
  <c r="E123" i="1" l="1"/>
  <c r="G123" i="1" s="1"/>
  <c r="D124" i="1" s="1"/>
  <c r="C124" i="1" l="1"/>
  <c r="F124" i="1" s="1"/>
  <c r="E124" i="1" l="1"/>
  <c r="G124" i="1" s="1"/>
  <c r="D125" i="1" s="1"/>
  <c r="C125" i="1" l="1"/>
  <c r="F125" i="1" s="1"/>
  <c r="E125" i="1" l="1"/>
  <c r="G125" i="1" s="1"/>
  <c r="D126" i="1" s="1"/>
  <c r="C126" i="1" l="1"/>
  <c r="F126" i="1" s="1"/>
  <c r="E126" i="1" l="1"/>
  <c r="G126" i="1" s="1"/>
  <c r="D127" i="1" s="1"/>
  <c r="C127" i="1" l="1"/>
  <c r="F127" i="1" s="1"/>
  <c r="E127" i="1" l="1"/>
  <c r="G127" i="1" s="1"/>
  <c r="D128" i="1" s="1"/>
  <c r="C128" i="1" l="1"/>
  <c r="F128" i="1" s="1"/>
  <c r="E128" i="1" l="1"/>
  <c r="G128" i="1" s="1"/>
  <c r="D129" i="1" s="1"/>
  <c r="C129" i="1" l="1"/>
  <c r="F129" i="1" s="1"/>
  <c r="E129" i="1" l="1"/>
  <c r="G129" i="1" s="1"/>
  <c r="D130" i="1" s="1"/>
  <c r="C130" i="1" l="1"/>
  <c r="F130" i="1" s="1"/>
  <c r="E130" i="1" l="1"/>
  <c r="G130" i="1" s="1"/>
  <c r="D131" i="1" s="1"/>
  <c r="C131" i="1" l="1"/>
  <c r="F131" i="1" s="1"/>
  <c r="E131" i="1" l="1"/>
  <c r="G131" i="1" s="1"/>
  <c r="D132" i="1" s="1"/>
  <c r="C132" i="1" l="1"/>
  <c r="F132" i="1" s="1"/>
  <c r="E132" i="1" l="1"/>
  <c r="G132" i="1" s="1"/>
  <c r="D133" i="1" s="1"/>
  <c r="C133" i="1" l="1"/>
  <c r="F133" i="1" s="1"/>
  <c r="E133" i="1" l="1"/>
  <c r="G133" i="1" s="1"/>
  <c r="D134" i="1" s="1"/>
  <c r="C134" i="1" l="1"/>
  <c r="F134" i="1" s="1"/>
  <c r="E134" i="1" l="1"/>
  <c r="G134" i="1" s="1"/>
  <c r="D135" i="1" s="1"/>
  <c r="C135" i="1" l="1"/>
  <c r="F135" i="1" s="1"/>
  <c r="E135" i="1" l="1"/>
  <c r="G135" i="1" s="1"/>
  <c r="D136" i="1" s="1"/>
  <c r="C136" i="1" l="1"/>
  <c r="F136" i="1" s="1"/>
  <c r="E136" i="1" l="1"/>
  <c r="G136" i="1" s="1"/>
  <c r="D137" i="1" s="1"/>
  <c r="C137" i="1" l="1"/>
  <c r="F137" i="1" s="1"/>
  <c r="E137" i="1" l="1"/>
  <c r="G137" i="1" s="1"/>
  <c r="D138" i="1" s="1"/>
  <c r="C138" i="1" l="1"/>
  <c r="F138" i="1" s="1"/>
  <c r="E138" i="1" l="1"/>
  <c r="G138" i="1" s="1"/>
  <c r="D139" i="1" s="1"/>
  <c r="C139" i="1" l="1"/>
  <c r="F139" i="1" s="1"/>
  <c r="E139" i="1" l="1"/>
  <c r="G139" i="1" s="1"/>
  <c r="D140" i="1" s="1"/>
  <c r="C140" i="1" l="1"/>
  <c r="F140" i="1" s="1"/>
  <c r="E140" i="1" l="1"/>
  <c r="G140" i="1" s="1"/>
  <c r="D141" i="1" s="1"/>
  <c r="C141" i="1"/>
  <c r="F141" i="1" s="1"/>
  <c r="E141" i="1" l="1"/>
  <c r="G141" i="1" s="1"/>
  <c r="D142" i="1" s="1"/>
  <c r="C142" i="1" l="1"/>
  <c r="F142" i="1" s="1"/>
  <c r="E142" i="1" l="1"/>
  <c r="G142" i="1" s="1"/>
  <c r="D143" i="1" s="1"/>
  <c r="C143" i="1" l="1"/>
  <c r="F143" i="1" s="1"/>
  <c r="E143" i="1" l="1"/>
  <c r="G143" i="1" s="1"/>
  <c r="D144" i="1" s="1"/>
  <c r="C144" i="1" l="1"/>
  <c r="F144" i="1" s="1"/>
  <c r="E144" i="1" l="1"/>
  <c r="G144" i="1" s="1"/>
  <c r="D145" i="1" s="1"/>
  <c r="C145" i="1" l="1"/>
  <c r="F145" i="1" s="1"/>
  <c r="E145" i="1" l="1"/>
  <c r="G145" i="1" s="1"/>
  <c r="D146" i="1" s="1"/>
  <c r="C146" i="1" l="1"/>
  <c r="F146" i="1" s="1"/>
  <c r="E146" i="1" l="1"/>
  <c r="G146" i="1" s="1"/>
  <c r="D147" i="1" s="1"/>
  <c r="C147" i="1" l="1"/>
  <c r="F147" i="1" s="1"/>
  <c r="E147" i="1" l="1"/>
  <c r="G147" i="1" s="1"/>
  <c r="D148" i="1" s="1"/>
  <c r="C148" i="1" l="1"/>
  <c r="F148" i="1" s="1"/>
  <c r="E148" i="1" l="1"/>
  <c r="G148" i="1" s="1"/>
  <c r="D149" i="1" s="1"/>
  <c r="C149" i="1" l="1"/>
  <c r="F149" i="1" l="1"/>
  <c r="E149" i="1" s="1"/>
  <c r="G149" i="1"/>
  <c r="D150" i="1" s="1"/>
  <c r="C150" i="1" l="1"/>
  <c r="F150" i="1" s="1"/>
  <c r="E150" i="1" l="1"/>
  <c r="G150" i="1" s="1"/>
  <c r="D151" i="1" s="1"/>
  <c r="C151" i="1" l="1"/>
  <c r="F151" i="1" s="1"/>
  <c r="E151" i="1" l="1"/>
  <c r="G151" i="1" s="1"/>
  <c r="D152" i="1" s="1"/>
  <c r="C152" i="1" l="1"/>
  <c r="F152" i="1" s="1"/>
  <c r="E152" i="1" l="1"/>
  <c r="G152" i="1" s="1"/>
  <c r="D153" i="1" s="1"/>
  <c r="C153" i="1" l="1"/>
  <c r="F153" i="1" s="1"/>
  <c r="E153" i="1" l="1"/>
  <c r="G153" i="1" s="1"/>
  <c r="D154" i="1" s="1"/>
  <c r="C154" i="1" l="1"/>
  <c r="F154" i="1" s="1"/>
  <c r="E154" i="1" l="1"/>
  <c r="G154" i="1" s="1"/>
  <c r="D155" i="1" s="1"/>
  <c r="C155" i="1" l="1"/>
  <c r="F155" i="1" s="1"/>
  <c r="E155" i="1" l="1"/>
  <c r="G155" i="1" s="1"/>
  <c r="D156" i="1" s="1"/>
  <c r="C156" i="1" l="1"/>
  <c r="F156" i="1" s="1"/>
  <c r="E156" i="1" l="1"/>
  <c r="G156" i="1" s="1"/>
  <c r="D157" i="1" s="1"/>
  <c r="C157" i="1" l="1"/>
  <c r="F157" i="1" l="1"/>
  <c r="E157" i="1" s="1"/>
  <c r="G157" i="1" s="1"/>
  <c r="D158" i="1" s="1"/>
  <c r="C158" i="1" l="1"/>
  <c r="F158" i="1" s="1"/>
  <c r="E158" i="1" l="1"/>
  <c r="G158" i="1" s="1"/>
  <c r="D159" i="1" s="1"/>
  <c r="C159" i="1" l="1"/>
  <c r="F159" i="1" s="1"/>
  <c r="E159" i="1" l="1"/>
  <c r="G159" i="1" s="1"/>
  <c r="D160" i="1" s="1"/>
  <c r="C160" i="1" l="1"/>
  <c r="F160" i="1" s="1"/>
  <c r="E160" i="1" l="1"/>
  <c r="G160" i="1" s="1"/>
  <c r="D161" i="1" s="1"/>
  <c r="C161" i="1" l="1"/>
  <c r="F161" i="1" s="1"/>
  <c r="E161" i="1" l="1"/>
  <c r="G161" i="1" s="1"/>
  <c r="D162" i="1" s="1"/>
  <c r="C162" i="1" l="1"/>
  <c r="F162" i="1" s="1"/>
  <c r="E162" i="1" l="1"/>
  <c r="G162" i="1" s="1"/>
  <c r="D163" i="1" s="1"/>
  <c r="C163" i="1" l="1"/>
  <c r="F163" i="1" s="1"/>
  <c r="E163" i="1" l="1"/>
  <c r="G163" i="1" s="1"/>
  <c r="D164" i="1" s="1"/>
  <c r="C164" i="1" l="1"/>
  <c r="F164" i="1" s="1"/>
  <c r="E164" i="1" l="1"/>
  <c r="G164" i="1" s="1"/>
  <c r="D165" i="1" s="1"/>
  <c r="C165" i="1" l="1"/>
  <c r="F165" i="1" s="1"/>
  <c r="E165" i="1" l="1"/>
  <c r="G165" i="1" s="1"/>
  <c r="D166" i="1" s="1"/>
  <c r="C166" i="1" l="1"/>
  <c r="F166" i="1" s="1"/>
  <c r="E166" i="1" l="1"/>
  <c r="G166" i="1" s="1"/>
  <c r="D167" i="1" s="1"/>
  <c r="C167" i="1" l="1"/>
  <c r="F167" i="1" s="1"/>
  <c r="E167" i="1" l="1"/>
  <c r="G167" i="1" s="1"/>
  <c r="D168" i="1" s="1"/>
  <c r="C168" i="1" l="1"/>
  <c r="F168" i="1" s="1"/>
  <c r="E168" i="1" l="1"/>
  <c r="G168" i="1" s="1"/>
  <c r="D169" i="1" s="1"/>
  <c r="C169" i="1" l="1"/>
  <c r="F169" i="1" s="1"/>
  <c r="E169" i="1" l="1"/>
  <c r="G169" i="1" s="1"/>
  <c r="D170" i="1" s="1"/>
  <c r="C170" i="1" l="1"/>
  <c r="F170" i="1" s="1"/>
  <c r="E170" i="1" l="1"/>
  <c r="G170" i="1" s="1"/>
  <c r="D171" i="1" s="1"/>
  <c r="C171" i="1" l="1"/>
  <c r="F171" i="1" s="1"/>
  <c r="E171" i="1" l="1"/>
  <c r="G171" i="1" s="1"/>
  <c r="D172" i="1" s="1"/>
  <c r="C172" i="1" l="1"/>
  <c r="F172" i="1" s="1"/>
  <c r="E172" i="1" l="1"/>
  <c r="G172" i="1" s="1"/>
  <c r="D173" i="1" s="1"/>
  <c r="C173" i="1" l="1"/>
  <c r="F173" i="1" s="1"/>
  <c r="E173" i="1" l="1"/>
  <c r="G173" i="1" s="1"/>
  <c r="D174" i="1" s="1"/>
  <c r="C174" i="1" l="1"/>
  <c r="F174" i="1" s="1"/>
  <c r="E174" i="1" l="1"/>
  <c r="G174" i="1" s="1"/>
  <c r="D175" i="1" s="1"/>
  <c r="C175" i="1" l="1"/>
  <c r="F175" i="1" s="1"/>
  <c r="E175" i="1" l="1"/>
  <c r="G175" i="1" s="1"/>
  <c r="D176" i="1" s="1"/>
  <c r="C176" i="1" l="1"/>
  <c r="F176" i="1" s="1"/>
  <c r="E176" i="1" l="1"/>
  <c r="G176" i="1" s="1"/>
  <c r="D177" i="1" s="1"/>
  <c r="C177" i="1" l="1"/>
  <c r="F177" i="1" s="1"/>
  <c r="E177" i="1" l="1"/>
  <c r="G177" i="1" s="1"/>
  <c r="D178" i="1" s="1"/>
  <c r="C178" i="1" l="1"/>
  <c r="F178" i="1" s="1"/>
  <c r="E178" i="1" l="1"/>
  <c r="G178" i="1" s="1"/>
  <c r="D179" i="1" s="1"/>
  <c r="C179" i="1" l="1"/>
  <c r="F179" i="1" s="1"/>
  <c r="E179" i="1" l="1"/>
  <c r="G179" i="1" s="1"/>
  <c r="D180" i="1" s="1"/>
  <c r="C180" i="1" l="1"/>
  <c r="F180" i="1" s="1"/>
  <c r="E180" i="1" l="1"/>
  <c r="G180" i="1" s="1"/>
  <c r="D181" i="1" s="1"/>
  <c r="C181" i="1" l="1"/>
  <c r="F181" i="1" s="1"/>
  <c r="E181" i="1" l="1"/>
  <c r="G181" i="1" s="1"/>
  <c r="D182" i="1" s="1"/>
  <c r="C182" i="1" l="1"/>
  <c r="F182" i="1" s="1"/>
  <c r="E182" i="1" l="1"/>
  <c r="G182" i="1" s="1"/>
  <c r="D183" i="1" s="1"/>
  <c r="C183" i="1" l="1"/>
  <c r="F183" i="1" s="1"/>
  <c r="E183" i="1" l="1"/>
  <c r="G183" i="1" s="1"/>
  <c r="D184" i="1" s="1"/>
  <c r="C184" i="1" l="1"/>
  <c r="F184" i="1" s="1"/>
  <c r="E184" i="1" l="1"/>
  <c r="G184" i="1" s="1"/>
  <c r="D185" i="1" s="1"/>
  <c r="C185" i="1" l="1"/>
  <c r="F185" i="1" s="1"/>
  <c r="E185" i="1" l="1"/>
  <c r="G185" i="1" s="1"/>
  <c r="D186" i="1" s="1"/>
  <c r="C186" i="1" l="1"/>
  <c r="F186" i="1" s="1"/>
  <c r="E186" i="1" l="1"/>
  <c r="G186" i="1" s="1"/>
  <c r="D187" i="1" s="1"/>
  <c r="C187" i="1" l="1"/>
  <c r="F187" i="1" s="1"/>
  <c r="E187" i="1" l="1"/>
  <c r="G187" i="1" s="1"/>
  <c r="D188" i="1" s="1"/>
  <c r="C188" i="1" l="1"/>
  <c r="F188" i="1" s="1"/>
  <c r="E188" i="1" l="1"/>
  <c r="G188" i="1" s="1"/>
  <c r="D189" i="1" s="1"/>
  <c r="C189" i="1" l="1"/>
  <c r="F189" i="1" s="1"/>
  <c r="E189" i="1" l="1"/>
  <c r="G189" i="1" s="1"/>
  <c r="D190" i="1" s="1"/>
  <c r="C190" i="1" l="1"/>
  <c r="F190" i="1" s="1"/>
  <c r="E190" i="1" l="1"/>
  <c r="G190" i="1" s="1"/>
  <c r="D191" i="1" s="1"/>
  <c r="C191" i="1" l="1"/>
  <c r="F191" i="1" s="1"/>
  <c r="E191" i="1" l="1"/>
  <c r="G191" i="1" s="1"/>
  <c r="D192" i="1" s="1"/>
  <c r="C192" i="1" l="1"/>
  <c r="F192" i="1" s="1"/>
  <c r="E192" i="1"/>
  <c r="G192" i="1" s="1"/>
  <c r="D193" i="1" s="1"/>
  <c r="C193" i="1" l="1"/>
  <c r="F193" i="1" s="1"/>
  <c r="E193" i="1" l="1"/>
  <c r="G193" i="1" s="1"/>
  <c r="D194" i="1" s="1"/>
  <c r="C194" i="1" l="1"/>
  <c r="F194" i="1" s="1"/>
  <c r="E194" i="1" s="1"/>
  <c r="G194" i="1" s="1"/>
  <c r="C195" i="1" l="1"/>
  <c r="F195" i="1" s="1"/>
  <c r="D195" i="1"/>
  <c r="E195" i="1" s="1"/>
  <c r="G195" i="1" s="1"/>
  <c r="D196" i="1" l="1"/>
  <c r="C196" i="1"/>
  <c r="F196" i="1" s="1"/>
  <c r="E196" i="1" l="1"/>
  <c r="G196" i="1" s="1"/>
  <c r="D197" i="1"/>
  <c r="C197" i="1"/>
  <c r="F197" i="1" s="1"/>
  <c r="E197" i="1" l="1"/>
  <c r="G197" i="1" s="1"/>
  <c r="D198" i="1" s="1"/>
  <c r="C198" i="1" l="1"/>
  <c r="F198" i="1" s="1"/>
  <c r="E198" i="1" s="1"/>
  <c r="G198" i="1" s="1"/>
  <c r="D199" i="1" l="1"/>
  <c r="C199" i="1"/>
  <c r="F199" i="1" s="1"/>
  <c r="E199" i="1" l="1"/>
  <c r="G199" i="1" s="1"/>
  <c r="D200" i="1" s="1"/>
  <c r="C200" i="1"/>
  <c r="F200" i="1" s="1"/>
  <c r="E200" i="1" l="1"/>
  <c r="G200" i="1" s="1"/>
  <c r="D201" i="1" s="1"/>
  <c r="C201" i="1" l="1"/>
  <c r="F201" i="1"/>
  <c r="E201" i="1" s="1"/>
  <c r="G201" i="1" s="1"/>
  <c r="D202" i="1" s="1"/>
  <c r="C202" i="1" l="1"/>
  <c r="F202" i="1" s="1"/>
  <c r="E202" i="1" l="1"/>
  <c r="G202" i="1" s="1"/>
  <c r="D203" i="1" s="1"/>
  <c r="C203" i="1" l="1"/>
  <c r="F203" i="1" s="1"/>
  <c r="E203" i="1" l="1"/>
  <c r="G203" i="1" s="1"/>
  <c r="D204" i="1" s="1"/>
  <c r="C204" i="1" l="1"/>
  <c r="F204" i="1" s="1"/>
  <c r="E204" i="1" l="1"/>
  <c r="G204" i="1" s="1"/>
  <c r="D205" i="1" s="1"/>
  <c r="C205" i="1" l="1"/>
  <c r="F205" i="1" s="1"/>
  <c r="E205" i="1" l="1"/>
  <c r="G205" i="1" s="1"/>
  <c r="D206" i="1" s="1"/>
  <c r="C206" i="1" l="1"/>
  <c r="F206" i="1" s="1"/>
  <c r="E206" i="1" l="1"/>
  <c r="G206" i="1" s="1"/>
  <c r="D207" i="1" s="1"/>
  <c r="C207" i="1" l="1"/>
  <c r="F207" i="1" s="1"/>
  <c r="E207" i="1" l="1"/>
  <c r="G207" i="1" s="1"/>
  <c r="D208" i="1" s="1"/>
  <c r="C208" i="1" l="1"/>
  <c r="F208" i="1" s="1"/>
  <c r="E208" i="1" l="1"/>
  <c r="G208" i="1" s="1"/>
  <c r="D209" i="1" s="1"/>
  <c r="C209" i="1" l="1"/>
  <c r="F209" i="1" s="1"/>
  <c r="E209" i="1" l="1"/>
  <c r="G209" i="1" s="1"/>
  <c r="D210" i="1" s="1"/>
  <c r="C210" i="1" l="1"/>
  <c r="F210" i="1" s="1"/>
  <c r="E210" i="1" l="1"/>
  <c r="G210" i="1" s="1"/>
  <c r="D211" i="1" s="1"/>
  <c r="C211" i="1" l="1"/>
  <c r="F211" i="1" s="1"/>
  <c r="E211" i="1" l="1"/>
  <c r="G211" i="1" s="1"/>
  <c r="D212" i="1" s="1"/>
  <c r="C212" i="1" l="1"/>
  <c r="F212" i="1" s="1"/>
  <c r="E212" i="1" l="1"/>
  <c r="G212" i="1" s="1"/>
  <c r="D213" i="1" s="1"/>
  <c r="C213" i="1" l="1"/>
  <c r="F213" i="1" s="1"/>
  <c r="E213" i="1" l="1"/>
  <c r="G213" i="1" s="1"/>
  <c r="D214" i="1" s="1"/>
  <c r="C214" i="1" l="1"/>
  <c r="F214" i="1" s="1"/>
  <c r="E214" i="1" l="1"/>
  <c r="G214" i="1" s="1"/>
  <c r="D215" i="1" s="1"/>
  <c r="C215" i="1" l="1"/>
  <c r="F215" i="1" s="1"/>
  <c r="E215" i="1" l="1"/>
  <c r="G215" i="1" s="1"/>
  <c r="D216" i="1" s="1"/>
  <c r="C216" i="1" l="1"/>
  <c r="F216" i="1" s="1"/>
  <c r="E216" i="1" l="1"/>
  <c r="G216" i="1" s="1"/>
  <c r="D217" i="1" s="1"/>
  <c r="C217" i="1" l="1"/>
  <c r="F217" i="1" s="1"/>
  <c r="E217" i="1" l="1"/>
  <c r="G217" i="1" s="1"/>
  <c r="D218" i="1" s="1"/>
  <c r="C218" i="1" l="1"/>
  <c r="F218" i="1" s="1"/>
  <c r="E218" i="1" l="1"/>
  <c r="G218" i="1" s="1"/>
  <c r="D219" i="1" s="1"/>
  <c r="C219" i="1" l="1"/>
  <c r="F219" i="1" s="1"/>
  <c r="E219" i="1" l="1"/>
  <c r="G219" i="1" s="1"/>
  <c r="D220" i="1" s="1"/>
  <c r="C220" i="1" l="1"/>
  <c r="F220" i="1" s="1"/>
  <c r="E220" i="1" l="1"/>
  <c r="G220" i="1" s="1"/>
  <c r="D221" i="1" s="1"/>
  <c r="C221" i="1" l="1"/>
  <c r="F221" i="1" s="1"/>
  <c r="E221" i="1" l="1"/>
  <c r="G221" i="1" s="1"/>
  <c r="D222" i="1" s="1"/>
  <c r="C222" i="1" l="1"/>
  <c r="F222" i="1" s="1"/>
  <c r="E222" i="1" l="1"/>
  <c r="G222" i="1" s="1"/>
  <c r="D223" i="1" s="1"/>
  <c r="C223" i="1" l="1"/>
  <c r="F223" i="1" s="1"/>
  <c r="E223" i="1" l="1"/>
  <c r="G223" i="1" s="1"/>
  <c r="D224" i="1" s="1"/>
  <c r="C224" i="1" l="1"/>
  <c r="F224" i="1" s="1"/>
  <c r="E224" i="1" l="1"/>
  <c r="G224" i="1" s="1"/>
  <c r="D225" i="1" s="1"/>
  <c r="C225" i="1" l="1"/>
  <c r="F225" i="1" s="1"/>
  <c r="E225" i="1" l="1"/>
  <c r="G225" i="1" s="1"/>
  <c r="D226" i="1" s="1"/>
  <c r="C226" i="1" l="1"/>
  <c r="F226" i="1" s="1"/>
  <c r="E226" i="1" l="1"/>
  <c r="G226" i="1" s="1"/>
  <c r="D227" i="1" s="1"/>
  <c r="C227" i="1" l="1"/>
  <c r="F227" i="1" s="1"/>
  <c r="E227" i="1" l="1"/>
  <c r="G227" i="1" s="1"/>
  <c r="D228" i="1" s="1"/>
  <c r="C228" i="1" l="1"/>
  <c r="F228" i="1" s="1"/>
  <c r="E228" i="1" l="1"/>
  <c r="G228" i="1" s="1"/>
  <c r="D229" i="1" s="1"/>
  <c r="C229" i="1" l="1"/>
  <c r="F229" i="1" s="1"/>
  <c r="E229" i="1" l="1"/>
  <c r="G229" i="1" s="1"/>
  <c r="D230" i="1" s="1"/>
  <c r="C230" i="1" l="1"/>
  <c r="F230" i="1" s="1"/>
  <c r="E230" i="1" l="1"/>
  <c r="G230" i="1" s="1"/>
  <c r="D231" i="1" s="1"/>
  <c r="C231" i="1" l="1"/>
  <c r="F231" i="1" l="1"/>
  <c r="E231" i="1" l="1"/>
  <c r="G231" i="1" l="1"/>
  <c r="D232" i="1" s="1"/>
  <c r="C232" i="1" l="1"/>
  <c r="F232" i="1" s="1"/>
  <c r="E232" i="1" l="1"/>
  <c r="G232" i="1" l="1"/>
  <c r="D233" i="1" s="1"/>
  <c r="C233" i="1" l="1"/>
  <c r="F233" i="1" s="1"/>
  <c r="E233" i="1" l="1"/>
  <c r="G233" i="1" l="1"/>
  <c r="D234" i="1" s="1"/>
  <c r="C234" i="1" l="1"/>
  <c r="F234" i="1" s="1"/>
  <c r="E234" i="1" l="1"/>
  <c r="G234" i="1" l="1"/>
  <c r="D235" i="1" s="1"/>
  <c r="C235" i="1" l="1"/>
  <c r="F235" i="1" s="1"/>
  <c r="E235" i="1" l="1"/>
  <c r="G235" i="1" l="1"/>
  <c r="D236" i="1" s="1"/>
  <c r="C236" i="1" l="1"/>
  <c r="F236" i="1" s="1"/>
  <c r="E236" i="1" l="1"/>
  <c r="G236" i="1" s="1"/>
  <c r="D237" i="1" s="1"/>
  <c r="C237" i="1" l="1"/>
  <c r="F237" i="1" s="1"/>
  <c r="E237" i="1" l="1"/>
  <c r="G237" i="1" s="1"/>
  <c r="D238" i="1" s="1"/>
  <c r="C238" i="1" l="1"/>
  <c r="F238" i="1" s="1"/>
  <c r="E238" i="1" l="1"/>
  <c r="G238" i="1" s="1"/>
  <c r="D239" i="1" s="1"/>
  <c r="C239" i="1" l="1"/>
  <c r="F239" i="1" s="1"/>
  <c r="E239" i="1" l="1"/>
  <c r="G239" i="1" s="1"/>
  <c r="D240" i="1" s="1"/>
  <c r="C240" i="1" l="1"/>
  <c r="F240" i="1" s="1"/>
  <c r="E240" i="1" l="1"/>
  <c r="G240" i="1" s="1"/>
  <c r="D241" i="1" s="1"/>
  <c r="C241" i="1" l="1"/>
  <c r="F241" i="1" s="1"/>
  <c r="E241" i="1" l="1"/>
  <c r="G241" i="1" s="1"/>
  <c r="D242" i="1" s="1"/>
  <c r="C242" i="1" l="1"/>
  <c r="F242" i="1" l="1"/>
  <c r="E242" i="1" s="1"/>
  <c r="G242" i="1" s="1"/>
  <c r="D243" i="1" s="1"/>
  <c r="C243" i="1" l="1"/>
  <c r="F243" i="1" l="1"/>
  <c r="E243" i="1" s="1"/>
  <c r="G243" i="1" s="1"/>
  <c r="D244" i="1" s="1"/>
  <c r="C244" i="1" l="1"/>
  <c r="F244" i="1" s="1"/>
  <c r="E244" i="1" l="1"/>
  <c r="G244" i="1" s="1"/>
  <c r="D245" i="1" s="1"/>
  <c r="C245" i="1" l="1"/>
  <c r="F245" i="1" s="1"/>
  <c r="E245" i="1"/>
  <c r="G245" i="1" s="1"/>
  <c r="D246" i="1" s="1"/>
  <c r="C246" i="1" l="1"/>
  <c r="F246" i="1"/>
  <c r="E246" i="1" s="1"/>
  <c r="G246" i="1" s="1"/>
  <c r="D247" i="1" s="1"/>
  <c r="C247" i="1" l="1"/>
  <c r="F247" i="1" s="1"/>
  <c r="E247" i="1" l="1"/>
  <c r="G247" i="1" s="1"/>
  <c r="D248" i="1" s="1"/>
  <c r="C248" i="1" l="1"/>
  <c r="F248" i="1" l="1"/>
  <c r="E248" i="1" s="1"/>
  <c r="G248" i="1" s="1"/>
  <c r="D249" i="1" s="1"/>
  <c r="C249" i="1" l="1"/>
  <c r="F249" i="1" s="1"/>
  <c r="E249" i="1" l="1"/>
  <c r="G249" i="1" s="1"/>
  <c r="D250" i="1" s="1"/>
  <c r="C250" i="1" l="1"/>
  <c r="F250" i="1" s="1"/>
  <c r="E250" i="1" s="1"/>
  <c r="G250" i="1" s="1"/>
  <c r="D251" i="1" s="1"/>
  <c r="C251" i="1" l="1"/>
  <c r="F251" i="1" l="1"/>
  <c r="E251" i="1" s="1"/>
  <c r="G251" i="1" s="1"/>
  <c r="D252" i="1" s="1"/>
  <c r="C252" i="1" l="1"/>
  <c r="F252" i="1" s="1"/>
  <c r="E252" i="1" l="1"/>
  <c r="G252" i="1" s="1"/>
  <c r="D253" i="1" s="1"/>
  <c r="C253" i="1" l="1"/>
  <c r="F253" i="1" s="1"/>
  <c r="E253" i="1" l="1"/>
  <c r="G253" i="1" s="1"/>
  <c r="D254" i="1" s="1"/>
  <c r="C254" i="1" l="1"/>
  <c r="F254" i="1" s="1"/>
  <c r="E254" i="1" l="1"/>
  <c r="G254" i="1" s="1"/>
  <c r="D255" i="1" s="1"/>
  <c r="C255" i="1" l="1"/>
  <c r="F255" i="1" s="1"/>
  <c r="E255" i="1" l="1"/>
  <c r="G255" i="1" s="1"/>
  <c r="D256" i="1" s="1"/>
  <c r="C256" i="1" l="1"/>
  <c r="F256" i="1" s="1"/>
  <c r="E256" i="1" l="1"/>
  <c r="G256" i="1" s="1"/>
  <c r="D257" i="1" s="1"/>
  <c r="C257" i="1" l="1"/>
  <c r="F257" i="1" s="1"/>
  <c r="E257" i="1" l="1"/>
  <c r="G257" i="1" s="1"/>
  <c r="D258" i="1" s="1"/>
  <c r="C258" i="1" l="1"/>
  <c r="F258" i="1" s="1"/>
  <c r="E258" i="1" l="1"/>
  <c r="G258" i="1" s="1"/>
  <c r="D259" i="1" s="1"/>
  <c r="C259" i="1" l="1"/>
  <c r="F259" i="1" s="1"/>
  <c r="E259" i="1" l="1"/>
  <c r="G259" i="1" s="1"/>
  <c r="D260" i="1" s="1"/>
  <c r="C260" i="1" l="1"/>
  <c r="F260" i="1" s="1"/>
  <c r="E260" i="1" l="1"/>
  <c r="G260" i="1" s="1"/>
  <c r="D261" i="1" s="1"/>
  <c r="C261" i="1" l="1"/>
  <c r="F261" i="1" s="1"/>
  <c r="E261" i="1" l="1"/>
  <c r="G261" i="1" s="1"/>
  <c r="D262" i="1" s="1"/>
  <c r="C262" i="1" l="1"/>
  <c r="F262" i="1" s="1"/>
  <c r="E262" i="1" l="1"/>
  <c r="G262" i="1" s="1"/>
  <c r="D263" i="1" s="1"/>
  <c r="C263" i="1" l="1"/>
  <c r="F263" i="1" s="1"/>
  <c r="E263" i="1" l="1"/>
  <c r="G263" i="1" s="1"/>
  <c r="D264" i="1" s="1"/>
  <c r="C264" i="1" l="1"/>
  <c r="F264" i="1" l="1"/>
  <c r="E264" i="1" s="1"/>
  <c r="G264" i="1" s="1"/>
  <c r="D265" i="1" s="1"/>
  <c r="C265" i="1" l="1"/>
  <c r="F265" i="1" s="1"/>
  <c r="E265" i="1" l="1"/>
  <c r="G265" i="1" s="1"/>
  <c r="D266" i="1" s="1"/>
  <c r="C266" i="1" l="1"/>
  <c r="F266" i="1" s="1"/>
  <c r="E266" i="1" l="1"/>
  <c r="G266" i="1" s="1"/>
  <c r="D267" i="1" s="1"/>
  <c r="C267" i="1" l="1"/>
  <c r="F267" i="1" s="1"/>
  <c r="E267" i="1" l="1"/>
  <c r="G267" i="1" s="1"/>
  <c r="D268" i="1" s="1"/>
  <c r="C268" i="1" l="1"/>
  <c r="F268" i="1" s="1"/>
  <c r="E268" i="1" l="1"/>
  <c r="G268" i="1" s="1"/>
  <c r="D269" i="1" s="1"/>
  <c r="C269" i="1" l="1"/>
  <c r="F269" i="1" s="1"/>
  <c r="E269" i="1" l="1"/>
  <c r="G269" i="1" s="1"/>
  <c r="D270" i="1" s="1"/>
  <c r="C270" i="1" l="1"/>
  <c r="F270" i="1" s="1"/>
  <c r="E270" i="1" l="1"/>
  <c r="G270" i="1" s="1"/>
  <c r="D271" i="1" s="1"/>
  <c r="C271" i="1" l="1"/>
  <c r="F271" i="1" s="1"/>
  <c r="E271" i="1" l="1"/>
  <c r="G271" i="1" s="1"/>
  <c r="D272" i="1" s="1"/>
  <c r="C272" i="1" l="1"/>
  <c r="F272" i="1" s="1"/>
  <c r="E272" i="1" l="1"/>
  <c r="G272" i="1" s="1"/>
  <c r="D273" i="1" s="1"/>
  <c r="C273" i="1" l="1"/>
  <c r="F273" i="1" s="1"/>
  <c r="E273" i="1" l="1"/>
  <c r="G273" i="1" s="1"/>
  <c r="D274" i="1" s="1"/>
  <c r="C274" i="1" l="1"/>
  <c r="F274" i="1" s="1"/>
  <c r="E274" i="1" l="1"/>
  <c r="G274" i="1" s="1"/>
  <c r="D275" i="1" s="1"/>
  <c r="C275" i="1" l="1"/>
  <c r="F275" i="1" s="1"/>
  <c r="E275" i="1" l="1"/>
  <c r="G275" i="1" s="1"/>
  <c r="D276" i="1" s="1"/>
  <c r="C276" i="1" l="1"/>
  <c r="F276" i="1" l="1"/>
  <c r="E276" i="1" s="1"/>
  <c r="G276" i="1" s="1"/>
  <c r="D277" i="1" s="1"/>
  <c r="C277" i="1" l="1"/>
  <c r="F277" i="1" s="1"/>
  <c r="E277" i="1" l="1"/>
  <c r="G277" i="1" s="1"/>
  <c r="D278" i="1" s="1"/>
  <c r="C278" i="1" l="1"/>
  <c r="F278" i="1" s="1"/>
  <c r="E278" i="1" l="1"/>
  <c r="G278" i="1" s="1"/>
  <c r="D279" i="1" s="1"/>
  <c r="C279" i="1" l="1"/>
  <c r="F279" i="1" s="1"/>
  <c r="E279" i="1" l="1"/>
  <c r="G279" i="1" s="1"/>
  <c r="D280" i="1" s="1"/>
  <c r="C280" i="1" l="1"/>
  <c r="F280" i="1" s="1"/>
  <c r="E280" i="1" l="1"/>
  <c r="G280" i="1" s="1"/>
  <c r="D281" i="1" s="1"/>
  <c r="C281" i="1" l="1"/>
  <c r="F281" i="1" s="1"/>
  <c r="E281" i="1" l="1"/>
  <c r="G281" i="1" s="1"/>
  <c r="D282" i="1" s="1"/>
  <c r="C282" i="1" l="1"/>
  <c r="F282" i="1" s="1"/>
  <c r="E282" i="1" l="1"/>
  <c r="G282" i="1" s="1"/>
  <c r="D283" i="1" s="1"/>
  <c r="C283" i="1" l="1"/>
  <c r="F283" i="1" l="1"/>
  <c r="E283" i="1" s="1"/>
  <c r="G283" i="1" s="1"/>
  <c r="D284" i="1" s="1"/>
  <c r="C284" i="1" l="1"/>
  <c r="F284" i="1" s="1"/>
  <c r="E284" i="1" l="1"/>
  <c r="G284" i="1" s="1"/>
  <c r="D285" i="1" s="1"/>
  <c r="C285" i="1" l="1"/>
  <c r="F285" i="1" s="1"/>
  <c r="E285" i="1" l="1"/>
  <c r="G285" i="1" s="1"/>
  <c r="D286" i="1" s="1"/>
  <c r="C286" i="1" l="1"/>
  <c r="F286" i="1" s="1"/>
  <c r="E286" i="1" l="1"/>
  <c r="G286" i="1" s="1"/>
  <c r="D287" i="1" s="1"/>
  <c r="C287" i="1" l="1"/>
  <c r="F287" i="1" s="1"/>
  <c r="E287" i="1" l="1"/>
  <c r="G287" i="1" s="1"/>
  <c r="D288" i="1" s="1"/>
  <c r="C288" i="1" l="1"/>
  <c r="F288" i="1" l="1"/>
  <c r="E288" i="1" s="1"/>
  <c r="G288" i="1" s="1"/>
  <c r="D289" i="1" s="1"/>
  <c r="C289" i="1" l="1"/>
  <c r="F289" i="1" s="1"/>
  <c r="E289" i="1" l="1"/>
  <c r="G289" i="1" s="1"/>
  <c r="D290" i="1" s="1"/>
  <c r="C290" i="1" l="1"/>
  <c r="F290" i="1" s="1"/>
  <c r="E290" i="1" l="1"/>
  <c r="G290" i="1" s="1"/>
  <c r="D291" i="1" s="1"/>
  <c r="C291" i="1" l="1"/>
  <c r="F291" i="1" l="1"/>
  <c r="E291" i="1" s="1"/>
  <c r="G291" i="1"/>
  <c r="D292" i="1" s="1"/>
  <c r="C292" i="1" l="1"/>
  <c r="F292" i="1" l="1"/>
  <c r="E292" i="1" s="1"/>
  <c r="G292" i="1" s="1"/>
  <c r="D293" i="1" s="1"/>
  <c r="C293" i="1" l="1"/>
  <c r="F293" i="1" s="1"/>
  <c r="E293" i="1" l="1"/>
  <c r="G293" i="1" s="1"/>
  <c r="D294" i="1" s="1"/>
  <c r="C294" i="1" l="1"/>
  <c r="F294" i="1" s="1"/>
  <c r="E294" i="1" l="1"/>
  <c r="G294" i="1" s="1"/>
  <c r="D295" i="1" s="1"/>
  <c r="C295" i="1" l="1"/>
  <c r="F295" i="1" s="1"/>
  <c r="E295" i="1" l="1"/>
  <c r="G295" i="1" s="1"/>
  <c r="D296" i="1" s="1"/>
  <c r="C296" i="1" l="1"/>
  <c r="F296" i="1" l="1"/>
  <c r="E296" i="1" s="1"/>
  <c r="G296" i="1" s="1"/>
  <c r="D297" i="1" s="1"/>
  <c r="C297" i="1" l="1"/>
  <c r="F297" i="1" s="1"/>
  <c r="E297" i="1" l="1"/>
  <c r="G297" i="1" s="1"/>
  <c r="D298" i="1" s="1"/>
  <c r="C298" i="1" l="1"/>
  <c r="F298" i="1" l="1"/>
  <c r="E298" i="1" s="1"/>
  <c r="G298" i="1" s="1"/>
  <c r="D299" i="1" s="1"/>
  <c r="C299" i="1" l="1"/>
  <c r="F299" i="1" s="1"/>
  <c r="E299" i="1" l="1"/>
  <c r="G299" i="1" s="1"/>
  <c r="D300" i="1" s="1"/>
  <c r="C300" i="1" l="1"/>
  <c r="F300" i="1" l="1"/>
  <c r="E300" i="1" s="1"/>
  <c r="G300" i="1" s="1"/>
  <c r="D301" i="1" s="1"/>
  <c r="C301" i="1" l="1"/>
  <c r="F301" i="1" s="1"/>
  <c r="E301" i="1" l="1"/>
  <c r="G301" i="1" s="1"/>
  <c r="D302" i="1" s="1"/>
  <c r="C302" i="1" l="1"/>
  <c r="F302" i="1" l="1"/>
  <c r="E302" i="1" s="1"/>
  <c r="G302" i="1" s="1"/>
  <c r="D303" i="1" s="1"/>
  <c r="C303" i="1" l="1"/>
  <c r="F303" i="1" s="1"/>
  <c r="E303" i="1" l="1"/>
  <c r="G303" i="1" s="1"/>
  <c r="D304" i="1" s="1"/>
  <c r="C304" i="1" l="1"/>
  <c r="F304" i="1" s="1"/>
  <c r="E304" i="1" l="1"/>
  <c r="G304" i="1" s="1"/>
  <c r="D305" i="1" s="1"/>
  <c r="C305" i="1" l="1"/>
  <c r="F305" i="1" s="1"/>
  <c r="E305" i="1" l="1"/>
  <c r="G305" i="1" s="1"/>
  <c r="D306" i="1" s="1"/>
  <c r="C306" i="1" l="1"/>
  <c r="F306" i="1" s="1"/>
  <c r="E306" i="1" l="1"/>
  <c r="G306" i="1" s="1"/>
  <c r="D307" i="1" s="1"/>
  <c r="C307" i="1" l="1"/>
  <c r="F307" i="1" s="1"/>
  <c r="E307" i="1" l="1"/>
  <c r="G307" i="1" s="1"/>
  <c r="D308" i="1" s="1"/>
  <c r="C308" i="1" l="1"/>
  <c r="F308" i="1" s="1"/>
  <c r="E308" i="1" l="1"/>
  <c r="G308" i="1" s="1"/>
  <c r="D309" i="1" s="1"/>
  <c r="C309" i="1" l="1"/>
  <c r="F309" i="1" s="1"/>
  <c r="E309" i="1" l="1"/>
  <c r="G309" i="1" s="1"/>
  <c r="D310" i="1" s="1"/>
  <c r="C310" i="1" l="1"/>
  <c r="F310" i="1" s="1"/>
  <c r="E310" i="1" l="1"/>
  <c r="G310" i="1" s="1"/>
  <c r="D311" i="1" s="1"/>
  <c r="C311" i="1" l="1"/>
  <c r="F311" i="1" s="1"/>
  <c r="E311" i="1" l="1"/>
  <c r="G311" i="1" s="1"/>
  <c r="D312" i="1" s="1"/>
  <c r="C312" i="1" l="1"/>
  <c r="F312" i="1" s="1"/>
  <c r="E312" i="1" l="1"/>
  <c r="G312" i="1" s="1"/>
  <c r="D313" i="1" s="1"/>
  <c r="C313" i="1" l="1"/>
  <c r="F313" i="1" s="1"/>
  <c r="E313" i="1" l="1"/>
  <c r="G313" i="1" s="1"/>
  <c r="D314" i="1" s="1"/>
  <c r="C314" i="1" l="1"/>
  <c r="F314" i="1" s="1"/>
  <c r="E314" i="1" l="1"/>
  <c r="G314" i="1" s="1"/>
  <c r="D315" i="1" s="1"/>
  <c r="C315" i="1" l="1"/>
  <c r="F315" i="1" s="1"/>
  <c r="E315" i="1" l="1"/>
  <c r="G315" i="1" s="1"/>
  <c r="D316" i="1" s="1"/>
  <c r="C316" i="1" l="1"/>
  <c r="F316" i="1" s="1"/>
  <c r="E316" i="1" l="1"/>
  <c r="G316" i="1" s="1"/>
  <c r="D317" i="1" s="1"/>
  <c r="C317" i="1" l="1"/>
  <c r="F317" i="1" s="1"/>
  <c r="E317" i="1" l="1"/>
  <c r="G317" i="1" s="1"/>
  <c r="D318" i="1" s="1"/>
  <c r="C318" i="1" l="1"/>
  <c r="F318" i="1" s="1"/>
  <c r="E318" i="1" l="1"/>
  <c r="G318" i="1" s="1"/>
  <c r="D319" i="1" s="1"/>
  <c r="C319" i="1" l="1"/>
  <c r="F319" i="1" l="1"/>
  <c r="E319" i="1" s="1"/>
  <c r="G319" i="1" s="1"/>
  <c r="D320" i="1" s="1"/>
  <c r="C320" i="1" l="1"/>
  <c r="F320" i="1" s="1"/>
  <c r="E320" i="1" l="1"/>
  <c r="G320" i="1" s="1"/>
  <c r="D321" i="1" s="1"/>
  <c r="C321" i="1" l="1"/>
  <c r="F321" i="1" s="1"/>
  <c r="E321" i="1" l="1"/>
  <c r="G321" i="1" s="1"/>
  <c r="D322" i="1" s="1"/>
  <c r="C322" i="1" l="1"/>
  <c r="F322" i="1" s="1"/>
  <c r="E322" i="1" l="1"/>
  <c r="G322" i="1" s="1"/>
  <c r="D323" i="1" s="1"/>
  <c r="C323" i="1" l="1"/>
  <c r="F323" i="1" l="1"/>
  <c r="E323" i="1" s="1"/>
  <c r="G323" i="1" s="1"/>
  <c r="D324" i="1" s="1"/>
  <c r="C324" i="1" l="1"/>
  <c r="F324" i="1" s="1"/>
  <c r="E324" i="1" l="1"/>
  <c r="G324" i="1" s="1"/>
  <c r="D325" i="1" s="1"/>
  <c r="C325" i="1" l="1"/>
  <c r="F325" i="1" s="1"/>
  <c r="E325" i="1" l="1"/>
  <c r="G325" i="1" s="1"/>
  <c r="D326" i="1" s="1"/>
  <c r="C326" i="1" l="1"/>
  <c r="F326" i="1" s="1"/>
  <c r="E326" i="1" l="1"/>
  <c r="G326" i="1" s="1"/>
  <c r="D327" i="1" s="1"/>
  <c r="C327" i="1" l="1"/>
  <c r="F327" i="1" s="1"/>
  <c r="E327" i="1" l="1"/>
  <c r="G327" i="1" s="1"/>
  <c r="D328" i="1" s="1"/>
  <c r="C328" i="1" l="1"/>
  <c r="F328" i="1" s="1"/>
  <c r="E328" i="1" l="1"/>
  <c r="G328" i="1" s="1"/>
  <c r="D329" i="1" s="1"/>
  <c r="C329" i="1" l="1"/>
  <c r="F329" i="1" s="1"/>
  <c r="E329" i="1" l="1"/>
  <c r="G329" i="1" s="1"/>
  <c r="D330" i="1" s="1"/>
  <c r="C330" i="1" l="1"/>
  <c r="F330" i="1" s="1"/>
  <c r="E330" i="1" l="1"/>
  <c r="G330" i="1" s="1"/>
  <c r="D331" i="1" s="1"/>
  <c r="C331" i="1" l="1"/>
  <c r="F331" i="1" s="1"/>
  <c r="E331" i="1" l="1"/>
  <c r="G331" i="1" s="1"/>
  <c r="D332" i="1" s="1"/>
  <c r="C332" i="1" l="1"/>
  <c r="F332" i="1" l="1"/>
  <c r="E332" i="1" s="1"/>
  <c r="G332" i="1" s="1"/>
  <c r="D333" i="1" s="1"/>
  <c r="C333" i="1" l="1"/>
  <c r="F333" i="1" s="1"/>
  <c r="E333" i="1" l="1"/>
  <c r="G333" i="1" s="1"/>
  <c r="D334" i="1" s="1"/>
  <c r="C334" i="1" l="1"/>
  <c r="F334" i="1" s="1"/>
  <c r="E334" i="1" l="1"/>
  <c r="G334" i="1" s="1"/>
  <c r="D335" i="1" s="1"/>
  <c r="C335" i="1" l="1"/>
  <c r="F335" i="1" s="1"/>
  <c r="E335" i="1" l="1"/>
  <c r="G335" i="1" s="1"/>
  <c r="D336" i="1" s="1"/>
  <c r="C336" i="1" l="1"/>
  <c r="F336" i="1" s="1"/>
  <c r="E336" i="1" l="1"/>
  <c r="G336" i="1" s="1"/>
  <c r="D337" i="1" s="1"/>
  <c r="C337" i="1" l="1"/>
  <c r="F337" i="1" s="1"/>
  <c r="E337" i="1" l="1"/>
  <c r="G337" i="1" s="1"/>
  <c r="D338" i="1" s="1"/>
  <c r="C338" i="1" l="1"/>
  <c r="F338" i="1" s="1"/>
  <c r="E338" i="1" l="1"/>
  <c r="G338" i="1" s="1"/>
  <c r="D339" i="1" s="1"/>
  <c r="C339" i="1" l="1"/>
  <c r="F339" i="1" s="1"/>
  <c r="E339" i="1" l="1"/>
  <c r="G339" i="1" s="1"/>
  <c r="D340" i="1" s="1"/>
  <c r="C340" i="1" l="1"/>
  <c r="F340" i="1" s="1"/>
  <c r="E340" i="1" l="1"/>
  <c r="G340" i="1" s="1"/>
  <c r="D341" i="1" s="1"/>
  <c r="C341" i="1" l="1"/>
  <c r="F341" i="1" l="1"/>
  <c r="E341" i="1" s="1"/>
  <c r="G341" i="1" s="1"/>
  <c r="D342" i="1" s="1"/>
  <c r="C342" i="1" l="1"/>
  <c r="F342" i="1" s="1"/>
  <c r="E342" i="1" l="1"/>
  <c r="G342" i="1" s="1"/>
  <c r="D343" i="1" s="1"/>
  <c r="C343" i="1" l="1"/>
  <c r="F343" i="1" s="1"/>
  <c r="E343" i="1" l="1"/>
  <c r="G343" i="1" s="1"/>
  <c r="D344" i="1" s="1"/>
  <c r="C344" i="1" l="1"/>
  <c r="F344" i="1" l="1"/>
  <c r="E344" i="1" s="1"/>
  <c r="G344" i="1" s="1"/>
  <c r="D345" i="1" s="1"/>
  <c r="C345" i="1" l="1"/>
  <c r="F345" i="1" s="1"/>
  <c r="E345" i="1" l="1"/>
  <c r="G345" i="1" s="1"/>
  <c r="D346" i="1" s="1"/>
  <c r="C346" i="1" l="1"/>
  <c r="F346" i="1" s="1"/>
  <c r="E346" i="1" l="1"/>
  <c r="G346" i="1" s="1"/>
  <c r="D347" i="1" s="1"/>
  <c r="C347" i="1" l="1"/>
  <c r="F347" i="1" s="1"/>
  <c r="E347" i="1" l="1"/>
  <c r="G347" i="1" s="1"/>
  <c r="D348" i="1" s="1"/>
  <c r="C348" i="1" l="1"/>
  <c r="F348" i="1" l="1"/>
  <c r="E348" i="1" s="1"/>
  <c r="G348" i="1" s="1"/>
  <c r="D349" i="1" s="1"/>
  <c r="C349" i="1" l="1"/>
  <c r="F349" i="1" l="1"/>
  <c r="E349" i="1" s="1"/>
  <c r="G349" i="1" s="1"/>
  <c r="D350" i="1" s="1"/>
  <c r="C350" i="1" l="1"/>
  <c r="F350" i="1" l="1"/>
  <c r="E350" i="1" s="1"/>
  <c r="G350" i="1" s="1"/>
  <c r="D351" i="1" s="1"/>
  <c r="C351" i="1" l="1"/>
  <c r="F351" i="1" s="1"/>
  <c r="E351" i="1" l="1"/>
  <c r="G351" i="1" s="1"/>
  <c r="D352" i="1" s="1"/>
  <c r="C352" i="1" l="1"/>
  <c r="F352" i="1" s="1"/>
  <c r="E352" i="1" l="1"/>
  <c r="G352" i="1" s="1"/>
  <c r="D353" i="1" s="1"/>
  <c r="C353" i="1" l="1"/>
  <c r="F353" i="1" s="1"/>
  <c r="E353" i="1" l="1"/>
  <c r="G353" i="1" s="1"/>
  <c r="D354" i="1" s="1"/>
  <c r="C354" i="1" l="1"/>
  <c r="F354" i="1" s="1"/>
  <c r="E354" i="1" l="1"/>
  <c r="G354" i="1" s="1"/>
  <c r="D355" i="1" s="1"/>
  <c r="C355" i="1" l="1"/>
  <c r="F355" i="1" s="1"/>
  <c r="E355" i="1" l="1"/>
  <c r="G355" i="1" s="1"/>
  <c r="D356" i="1" s="1"/>
  <c r="C356" i="1" l="1"/>
  <c r="F356" i="1" s="1"/>
  <c r="E356" i="1" l="1"/>
  <c r="G356" i="1" s="1"/>
  <c r="D357" i="1" s="1"/>
  <c r="C357" i="1" l="1"/>
  <c r="F357" i="1" s="1"/>
  <c r="E357" i="1" l="1"/>
  <c r="G357" i="1" s="1"/>
  <c r="D358" i="1" s="1"/>
  <c r="C358" i="1" l="1"/>
  <c r="F358" i="1" s="1"/>
  <c r="E358" i="1" l="1"/>
  <c r="G358" i="1" s="1"/>
  <c r="D359" i="1" s="1"/>
  <c r="C359" i="1" l="1"/>
  <c r="F359" i="1" s="1"/>
  <c r="E359" i="1" l="1"/>
  <c r="G359" i="1" s="1"/>
  <c r="D360" i="1" s="1"/>
  <c r="C360" i="1" l="1"/>
  <c r="F360" i="1" s="1"/>
  <c r="E360" i="1" l="1"/>
  <c r="G360" i="1" s="1"/>
  <c r="D361" i="1" s="1"/>
  <c r="C361" i="1" l="1"/>
  <c r="F361" i="1" l="1"/>
  <c r="E361" i="1" s="1"/>
  <c r="G361" i="1" s="1"/>
  <c r="D362" i="1" s="1"/>
  <c r="C362" i="1" l="1"/>
  <c r="F362" i="1" s="1"/>
  <c r="E362" i="1" l="1"/>
  <c r="G362" i="1" s="1"/>
  <c r="D363" i="1" s="1"/>
  <c r="C363" i="1" l="1"/>
  <c r="F363" i="1" l="1"/>
  <c r="E363" i="1" s="1"/>
  <c r="G363" i="1" s="1"/>
  <c r="D364" i="1" s="1"/>
  <c r="C364" i="1" l="1"/>
  <c r="F364" i="1" s="1"/>
  <c r="E364" i="1" l="1"/>
  <c r="G364" i="1" s="1"/>
  <c r="D365" i="1" s="1"/>
  <c r="C365" i="1" l="1"/>
  <c r="F365" i="1" s="1"/>
  <c r="E365" i="1" l="1"/>
  <c r="G365" i="1" s="1"/>
  <c r="D366" i="1" s="1"/>
  <c r="C366" i="1" l="1"/>
  <c r="F366" i="1" s="1"/>
  <c r="E366" i="1" l="1"/>
  <c r="G366" i="1" s="1"/>
  <c r="D367" i="1" s="1"/>
  <c r="C367" i="1" l="1"/>
  <c r="F367" i="1" s="1"/>
  <c r="E367" i="1" l="1"/>
  <c r="G367" i="1" s="1"/>
  <c r="D368" i="1" s="1"/>
  <c r="C368" i="1" l="1"/>
  <c r="F368" i="1" s="1"/>
  <c r="E368" i="1" l="1"/>
  <c r="G368" i="1" s="1"/>
  <c r="D369" i="1" s="1"/>
  <c r="C369" i="1" l="1"/>
  <c r="F369" i="1" s="1"/>
  <c r="E369" i="1" l="1"/>
  <c r="G369" i="1" s="1"/>
  <c r="D370" i="1" s="1"/>
  <c r="C370" i="1" l="1"/>
  <c r="F370" i="1" s="1"/>
  <c r="E370" i="1" l="1"/>
  <c r="G370" i="1" s="1"/>
  <c r="D371" i="1" s="1"/>
  <c r="C371" i="1" l="1"/>
  <c r="F371" i="1" s="1"/>
  <c r="E371" i="1" l="1"/>
  <c r="G371" i="1" s="1"/>
  <c r="D372" i="1" s="1"/>
  <c r="C372" i="1" l="1"/>
  <c r="F372" i="1" s="1"/>
  <c r="E372" i="1" l="1"/>
  <c r="G372" i="1" s="1"/>
  <c r="D373" i="1" s="1"/>
  <c r="C373" i="1" l="1"/>
  <c r="F373" i="1" s="1"/>
  <c r="E373" i="1" l="1"/>
  <c r="G373" i="1" s="1"/>
  <c r="D374" i="1" s="1"/>
  <c r="C374" i="1" l="1"/>
  <c r="F374" i="1" s="1"/>
  <c r="E374" i="1" l="1"/>
  <c r="G374" i="1" s="1"/>
  <c r="D375" i="1" s="1"/>
  <c r="C375" i="1" l="1"/>
  <c r="F375" i="1" s="1"/>
  <c r="E375" i="1" l="1"/>
  <c r="G375" i="1" s="1"/>
  <c r="D376" i="1" s="1"/>
  <c r="C376" i="1" l="1"/>
  <c r="F376" i="1" s="1"/>
  <c r="E376" i="1" l="1"/>
  <c r="G376" i="1" s="1"/>
  <c r="D377" i="1" s="1"/>
  <c r="C377" i="1" l="1"/>
  <c r="F377" i="1" s="1"/>
  <c r="E377" i="1" l="1"/>
  <c r="G377" i="1" s="1"/>
  <c r="D378" i="1" s="1"/>
  <c r="C378" i="1" l="1"/>
  <c r="F378" i="1" l="1"/>
  <c r="E378" i="1" s="1"/>
  <c r="G378" i="1" s="1"/>
  <c r="D379" i="1" s="1"/>
  <c r="C379" i="1" l="1"/>
  <c r="F379" i="1" s="1"/>
  <c r="E379" i="1" l="1"/>
  <c r="G379" i="1" s="1"/>
  <c r="D380" i="1" s="1"/>
  <c r="C380" i="1" l="1"/>
  <c r="F380" i="1" l="1"/>
  <c r="E380" i="1" s="1"/>
  <c r="G380" i="1" s="1"/>
  <c r="D381" i="1" s="1"/>
  <c r="C381" i="1" l="1"/>
  <c r="F381" i="1" l="1"/>
  <c r="E381" i="1" s="1"/>
  <c r="G381" i="1" s="1"/>
  <c r="D382" i="1" s="1"/>
  <c r="C382" i="1" l="1"/>
  <c r="F382" i="1" s="1"/>
  <c r="E382" i="1" l="1"/>
  <c r="G382" i="1" s="1"/>
  <c r="D383" i="1" s="1"/>
  <c r="C383" i="1" l="1"/>
  <c r="F383" i="1" s="1"/>
  <c r="E383" i="1" l="1"/>
  <c r="G383" i="1" s="1"/>
  <c r="D384" i="1" s="1"/>
  <c r="C384" i="1" l="1"/>
  <c r="F384" i="1" s="1"/>
  <c r="E384" i="1" l="1"/>
  <c r="G384" i="1" s="1"/>
  <c r="D385" i="1" s="1"/>
  <c r="C385" i="1" l="1"/>
  <c r="F385" i="1" s="1"/>
  <c r="E385" i="1" l="1"/>
  <c r="G385" i="1" s="1"/>
  <c r="D386" i="1" s="1"/>
  <c r="C386" i="1" l="1"/>
  <c r="F386" i="1" s="1"/>
  <c r="E386" i="1" l="1"/>
  <c r="G386" i="1" s="1"/>
  <c r="D387" i="1" s="1"/>
  <c r="C387" i="1" l="1"/>
  <c r="F387" i="1" s="1"/>
  <c r="E387" i="1" l="1"/>
  <c r="G387" i="1" s="1"/>
  <c r="D388" i="1" s="1"/>
  <c r="C388" i="1" l="1"/>
  <c r="F388" i="1" s="1"/>
  <c r="E388" i="1" l="1"/>
  <c r="G388" i="1" s="1"/>
  <c r="D389" i="1" s="1"/>
  <c r="C389" i="1" l="1"/>
  <c r="F389" i="1" s="1"/>
  <c r="E389" i="1" l="1"/>
  <c r="G389" i="1" s="1"/>
  <c r="D390" i="1" s="1"/>
  <c r="C390" i="1" l="1"/>
  <c r="F390" i="1" s="1"/>
  <c r="E390" i="1" l="1"/>
  <c r="G390" i="1" s="1"/>
  <c r="D391" i="1" s="1"/>
  <c r="C391" i="1" l="1"/>
  <c r="F391" i="1" s="1"/>
  <c r="E391" i="1" l="1"/>
  <c r="G391" i="1" s="1"/>
  <c r="D392" i="1" s="1"/>
  <c r="C392" i="1" l="1"/>
  <c r="F392" i="1" l="1"/>
  <c r="E392" i="1" s="1"/>
  <c r="G392" i="1" s="1"/>
  <c r="D393" i="1" s="1"/>
  <c r="C393" i="1" l="1"/>
  <c r="F393" i="1" s="1"/>
  <c r="E393" i="1" l="1"/>
  <c r="G393" i="1" s="1"/>
  <c r="D394" i="1" s="1"/>
  <c r="C394" i="1" l="1"/>
  <c r="F394" i="1" l="1"/>
  <c r="E394" i="1" s="1"/>
  <c r="G394" i="1" s="1"/>
  <c r="D395" i="1" s="1"/>
  <c r="C395" i="1" l="1"/>
  <c r="F395" i="1" l="1"/>
  <c r="E395" i="1" s="1"/>
  <c r="G395" i="1" s="1"/>
  <c r="D396" i="1" s="1"/>
  <c r="C396" i="1" l="1"/>
  <c r="F396" i="1" l="1"/>
  <c r="E396" i="1" s="1"/>
  <c r="G396" i="1"/>
  <c r="D397" i="1" s="1"/>
  <c r="C397" i="1" l="1"/>
  <c r="F397" i="1" s="1"/>
  <c r="E397" i="1" l="1"/>
  <c r="G397" i="1" s="1"/>
  <c r="D398" i="1" s="1"/>
  <c r="C398" i="1" l="1"/>
  <c r="F398" i="1" s="1"/>
  <c r="E398" i="1" l="1"/>
  <c r="G398" i="1" s="1"/>
  <c r="D399" i="1" s="1"/>
  <c r="C399" i="1" l="1"/>
  <c r="F399" i="1" s="1"/>
  <c r="E399" i="1" l="1"/>
  <c r="G399" i="1" s="1"/>
  <c r="D400" i="1" s="1"/>
  <c r="C400" i="1" l="1"/>
  <c r="F400" i="1" s="1"/>
  <c r="E400" i="1" l="1"/>
  <c r="G400" i="1" s="1"/>
  <c r="D401" i="1" s="1"/>
  <c r="C401" i="1" l="1"/>
  <c r="F401" i="1" l="1"/>
  <c r="E401" i="1" s="1"/>
  <c r="G401" i="1" s="1"/>
  <c r="D402" i="1" s="1"/>
  <c r="C402" i="1" l="1"/>
  <c r="F402" i="1" s="1"/>
  <c r="E402" i="1" l="1"/>
  <c r="G402" i="1" s="1"/>
  <c r="D403" i="1" s="1"/>
  <c r="C403" i="1" l="1"/>
  <c r="F403" i="1" l="1"/>
  <c r="E403" i="1" s="1"/>
  <c r="G403" i="1" s="1"/>
  <c r="D404" i="1" s="1"/>
  <c r="C404" i="1" l="1"/>
  <c r="F404" i="1" s="1"/>
  <c r="E404" i="1" l="1"/>
  <c r="G404" i="1" s="1"/>
  <c r="D405" i="1" s="1"/>
  <c r="C405" i="1" l="1"/>
  <c r="F405" i="1" s="1"/>
  <c r="E405" i="1" l="1"/>
  <c r="G405" i="1" s="1"/>
  <c r="D406" i="1" s="1"/>
  <c r="C406" i="1" l="1"/>
  <c r="F406" i="1" s="1"/>
  <c r="E406" i="1" l="1"/>
  <c r="G406" i="1" s="1"/>
  <c r="D407" i="1" s="1"/>
  <c r="C407" i="1" l="1"/>
  <c r="F407" i="1" l="1"/>
  <c r="E407" i="1" s="1"/>
  <c r="G407" i="1"/>
  <c r="D408" i="1" s="1"/>
  <c r="C408" i="1" l="1"/>
  <c r="F408" i="1" s="1"/>
  <c r="E408" i="1" l="1"/>
  <c r="G408" i="1" s="1"/>
  <c r="D409" i="1" s="1"/>
  <c r="C409" i="1" l="1"/>
  <c r="F409" i="1" s="1"/>
  <c r="E409" i="1" l="1"/>
  <c r="G409" i="1" s="1"/>
  <c r="D410" i="1" s="1"/>
  <c r="C410" i="1" l="1"/>
  <c r="F410" i="1" s="1"/>
  <c r="E410" i="1" l="1"/>
  <c r="G410" i="1" s="1"/>
  <c r="D411" i="1" s="1"/>
  <c r="C411" i="1" l="1"/>
  <c r="F411" i="1" s="1"/>
  <c r="E411" i="1" l="1"/>
  <c r="G411" i="1" s="1"/>
  <c r="D412" i="1" s="1"/>
  <c r="C412" i="1" l="1"/>
  <c r="F412" i="1" s="1"/>
  <c r="E412" i="1" l="1"/>
  <c r="G412" i="1" s="1"/>
  <c r="D413" i="1" s="1"/>
  <c r="C413" i="1" l="1"/>
  <c r="F413" i="1" s="1"/>
  <c r="E413" i="1" l="1"/>
  <c r="G413" i="1" s="1"/>
  <c r="D414" i="1" s="1"/>
  <c r="C414" i="1" l="1"/>
  <c r="F414" i="1" s="1"/>
  <c r="E414" i="1" l="1"/>
  <c r="G414" i="1" s="1"/>
  <c r="D415" i="1" s="1"/>
  <c r="C415" i="1" l="1"/>
  <c r="F415" i="1" s="1"/>
  <c r="E415" i="1" l="1"/>
  <c r="G415" i="1" s="1"/>
  <c r="D416" i="1" s="1"/>
  <c r="C416" i="1" l="1"/>
  <c r="F416" i="1" s="1"/>
  <c r="E416" i="1" l="1"/>
  <c r="G416" i="1" s="1"/>
  <c r="D417" i="1" s="1"/>
  <c r="C417" i="1" l="1"/>
  <c r="F417" i="1" l="1"/>
  <c r="E417" i="1" s="1"/>
  <c r="G417" i="1" s="1"/>
  <c r="D418" i="1" s="1"/>
  <c r="C418" i="1" l="1"/>
  <c r="F418" i="1" l="1"/>
  <c r="E418" i="1" s="1"/>
  <c r="G418" i="1" s="1"/>
  <c r="D419" i="1" s="1"/>
  <c r="C419" i="1" l="1"/>
  <c r="F419" i="1" l="1"/>
  <c r="E419" i="1" s="1"/>
  <c r="G419" i="1" s="1"/>
  <c r="D420" i="1" s="1"/>
  <c r="C420" i="1" l="1"/>
  <c r="F420" i="1" s="1"/>
  <c r="E420" i="1" l="1"/>
  <c r="G420" i="1" s="1"/>
  <c r="D421" i="1" s="1"/>
  <c r="C421" i="1" l="1"/>
  <c r="F421" i="1" l="1"/>
  <c r="E421" i="1" s="1"/>
  <c r="G421" i="1" s="1"/>
  <c r="D422" i="1" s="1"/>
  <c r="C422" i="1" l="1"/>
  <c r="F422" i="1" l="1"/>
  <c r="E422" i="1" s="1"/>
  <c r="G422" i="1" s="1"/>
  <c r="D423" i="1" s="1"/>
  <c r="C423" i="1" l="1"/>
  <c r="F423" i="1" s="1"/>
  <c r="E423" i="1" l="1"/>
  <c r="G423" i="1" s="1"/>
  <c r="D424" i="1" s="1"/>
  <c r="C424" i="1" l="1"/>
  <c r="F424" i="1" s="1"/>
  <c r="E424" i="1" l="1"/>
  <c r="G424" i="1" s="1"/>
  <c r="D425" i="1" s="1"/>
  <c r="C425" i="1" l="1"/>
  <c r="F425" i="1" l="1"/>
  <c r="E425" i="1" s="1"/>
  <c r="G425" i="1" s="1"/>
  <c r="D426" i="1" s="1"/>
  <c r="C426" i="1" l="1"/>
  <c r="F426" i="1" s="1"/>
  <c r="E426" i="1" l="1"/>
  <c r="G426" i="1" s="1"/>
  <c r="D427" i="1" s="1"/>
  <c r="C427" i="1" l="1"/>
  <c r="F427" i="1" s="1"/>
  <c r="E427" i="1" l="1"/>
  <c r="G427" i="1" s="1"/>
  <c r="D428" i="1" s="1"/>
  <c r="C428" i="1" l="1"/>
  <c r="F428" i="1" s="1"/>
  <c r="E428" i="1" l="1"/>
  <c r="G428" i="1" s="1"/>
  <c r="D429" i="1" s="1"/>
  <c r="C429" i="1" l="1"/>
  <c r="F429" i="1" l="1"/>
  <c r="E429" i="1" s="1"/>
  <c r="G429" i="1" s="1"/>
  <c r="D430" i="1" s="1"/>
  <c r="C430" i="1" l="1"/>
  <c r="F430" i="1" l="1"/>
  <c r="F3" i="1" s="1"/>
  <c r="E430" i="1" l="1"/>
  <c r="F4" i="1" l="1"/>
  <c r="F5" i="1" s="1"/>
  <c r="G430" i="1"/>
</calcChain>
</file>

<file path=xl/sharedStrings.xml><?xml version="1.0" encoding="utf-8"?>
<sst xmlns="http://schemas.openxmlformats.org/spreadsheetml/2006/main" count="14" uniqueCount="14">
  <si>
    <t>Importo da finanziare</t>
  </si>
  <si>
    <t>tasso mensile</t>
  </si>
  <si>
    <t>Durata finanziamento(year)</t>
  </si>
  <si>
    <t>Tasso interesse(year)</t>
  </si>
  <si>
    <t>durata finanziamento(month)</t>
  </si>
  <si>
    <t>Payment Date</t>
  </si>
  <si>
    <t>Importo di apertura</t>
  </si>
  <si>
    <t>Rata</t>
  </si>
  <si>
    <t>Debito</t>
  </si>
  <si>
    <t>Interessi</t>
  </si>
  <si>
    <t>Saldo finale</t>
  </si>
  <si>
    <t>Totale interessi</t>
  </si>
  <si>
    <t>Totale Finanziato</t>
  </si>
  <si>
    <t>% Interessi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</si>
</sst>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3" xfId="0" applyFont="1" applyFill="1" applyBorder="1"/>
    <xf numFmtId="44" fontId="0" fillId="0" borderId="6" xfId="1" applyFont="1" applyBorder="1"/>
    <xf numFmtId="10" fontId="0" fillId="0" borderId="7" xfId="2" applyNumberFormat="1" applyFont="1" applyBorder="1"/>
    <xf numFmtId="0" fontId="0" fillId="0" borderId="8" xfId="0" applyBorder="1"/>
    <xf numFmtId="10" fontId="0" fillId="0" borderId="8" xfId="2" applyNumberFormat="1" applyFont="1" applyBorder="1"/>
    <xf numFmtId="0" fontId="0" fillId="0" borderId="9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5" xfId="0" applyFont="1" applyFill="1" applyBorder="1"/>
    <xf numFmtId="0" fontId="2" fillId="2" borderId="12" xfId="0" applyFont="1" applyFill="1" applyBorder="1"/>
    <xf numFmtId="14" fontId="0" fillId="0" borderId="1" xfId="0" applyNumberFormat="1" applyBorder="1"/>
    <xf numFmtId="44" fontId="0" fillId="0" borderId="1" xfId="0" applyNumberFormat="1" applyBorder="1"/>
    <xf numFmtId="8" fontId="0" fillId="0" borderId="1" xfId="0" applyNumberFormat="1" applyBorder="1"/>
    <xf numFmtId="14" fontId="0" fillId="0" borderId="2" xfId="0" applyNumberFormat="1" applyBorder="1"/>
    <xf numFmtId="44" fontId="0" fillId="0" borderId="2" xfId="0" applyNumberFormat="1" applyBorder="1"/>
    <xf numFmtId="8" fontId="0" fillId="0" borderId="2" xfId="0" applyNumberFormat="1" applyBorder="1"/>
    <xf numFmtId="0" fontId="2" fillId="2" borderId="13" xfId="0" applyFont="1" applyFill="1" applyBorder="1"/>
    <xf numFmtId="0" fontId="2" fillId="2" borderId="4" xfId="0" applyFont="1" applyFill="1" applyBorder="1"/>
    <xf numFmtId="8" fontId="0" fillId="0" borderId="6" xfId="0" applyNumberFormat="1" applyBorder="1"/>
    <xf numFmtId="8" fontId="0" fillId="0" borderId="8" xfId="0" applyNumberFormat="1" applyBorder="1"/>
    <xf numFmtId="10" fontId="0" fillId="0" borderId="9" xfId="2" applyNumberFormat="1" applyFont="1" applyBorder="1"/>
  </cellXfs>
  <cellStyles count="3">
    <cellStyle name="Normale" xfId="0" builtinId="0"/>
    <cellStyle name="Percentuale" xfId="2" builtinId="5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C3287-CA81-4F43-AB59-A25765561C63}">
  <dimension ref="B2:G430"/>
  <sheetViews>
    <sheetView showGridLines="0" tabSelected="1" zoomScaleNormal="100" workbookViewId="0">
      <selection activeCell="C4" sqref="C4"/>
    </sheetView>
  </sheetViews>
  <sheetFormatPr defaultRowHeight="14.4" x14ac:dyDescent="0.3"/>
  <cols>
    <col min="2" max="2" width="26.109375" customWidth="1"/>
    <col min="3" max="3" width="17.44140625" customWidth="1"/>
    <col min="4" max="4" width="12.109375" customWidth="1"/>
    <col min="5" max="5" width="15.33203125" customWidth="1"/>
    <col min="6" max="6" width="15.88671875" customWidth="1"/>
    <col min="7" max="7" width="15.6640625" customWidth="1"/>
  </cols>
  <sheetData>
    <row r="2" spans="2:7" ht="15" thickBot="1" x14ac:dyDescent="0.35"/>
    <row r="3" spans="2:7" x14ac:dyDescent="0.3">
      <c r="B3" s="7" t="s">
        <v>0</v>
      </c>
      <c r="C3" s="2">
        <v>300000</v>
      </c>
      <c r="E3" s="7" t="s">
        <v>11</v>
      </c>
      <c r="F3" s="19">
        <f>SUM(F15:F430)</f>
        <v>147949.5727281328</v>
      </c>
    </row>
    <row r="4" spans="2:7" x14ac:dyDescent="0.3">
      <c r="B4" s="8" t="s">
        <v>3</v>
      </c>
      <c r="C4" s="3">
        <v>2.5000000000000001E-2</v>
      </c>
      <c r="E4" s="9" t="s">
        <v>12</v>
      </c>
      <c r="F4" s="20">
        <f>SUM(E11:E430)</f>
        <v>300000</v>
      </c>
    </row>
    <row r="5" spans="2:7" ht="15" thickBot="1" x14ac:dyDescent="0.35">
      <c r="B5" s="9" t="s">
        <v>2</v>
      </c>
      <c r="C5" s="4">
        <v>35</v>
      </c>
      <c r="E5" s="10" t="s">
        <v>13</v>
      </c>
      <c r="F5" s="21">
        <f>F3/SUM(F4,F3)</f>
        <v>0.33028175878610688</v>
      </c>
    </row>
    <row r="6" spans="2:7" x14ac:dyDescent="0.3">
      <c r="B6" s="9" t="s">
        <v>1</v>
      </c>
      <c r="C6" s="5">
        <f>C4/12</f>
        <v>2.0833333333333333E-3</v>
      </c>
    </row>
    <row r="7" spans="2:7" ht="15" thickBot="1" x14ac:dyDescent="0.35">
      <c r="B7" s="10" t="s">
        <v>4</v>
      </c>
      <c r="C7" s="6">
        <f>C5*12</f>
        <v>420</v>
      </c>
    </row>
    <row r="9" spans="2:7" ht="15.6" customHeight="1" thickBot="1" x14ac:dyDescent="0.35"/>
    <row r="10" spans="2:7" ht="30" customHeight="1" thickBot="1" x14ac:dyDescent="0.35">
      <c r="B10" s="1" t="s">
        <v>5</v>
      </c>
      <c r="C10" s="17" t="s">
        <v>6</v>
      </c>
      <c r="D10" s="17" t="s">
        <v>7</v>
      </c>
      <c r="E10" s="17" t="s">
        <v>8</v>
      </c>
      <c r="F10" s="17" t="s">
        <v>9</v>
      </c>
      <c r="G10" s="18" t="s">
        <v>10</v>
      </c>
    </row>
    <row r="11" spans="2:7" x14ac:dyDescent="0.3">
      <c r="B11" s="14">
        <v>46023</v>
      </c>
      <c r="C11" s="15">
        <f>$C$3</f>
        <v>300000</v>
      </c>
      <c r="D11" s="16">
        <f>-PMT($C$6,$C$7,$C$3)</f>
        <v>1072.4856461539562</v>
      </c>
      <c r="E11" s="16">
        <f>D11-F11</f>
        <v>447.48564615395617</v>
      </c>
      <c r="F11" s="16">
        <f>C11*$C$6</f>
        <v>625</v>
      </c>
      <c r="G11" s="15">
        <f>C11-E11</f>
        <v>299552.51435384603</v>
      </c>
    </row>
    <row r="12" spans="2:7" x14ac:dyDescent="0.3">
      <c r="B12" s="11">
        <f>EDATE(B11,1)</f>
        <v>46054</v>
      </c>
      <c r="C12" s="12">
        <f>G11</f>
        <v>299552.51435384603</v>
      </c>
      <c r="D12" s="13">
        <f>IF(G11&lt;=0.1,0,-PMT($C$6,$C$7,$C$3))</f>
        <v>1072.4856461539562</v>
      </c>
      <c r="E12" s="13">
        <f>D12-F12</f>
        <v>448.41790791677693</v>
      </c>
      <c r="F12" s="13">
        <f>C12*$C$6</f>
        <v>624.06773823717924</v>
      </c>
      <c r="G12" s="12">
        <f>C12-E12</f>
        <v>299104.09644592926</v>
      </c>
    </row>
    <row r="13" spans="2:7" x14ac:dyDescent="0.3">
      <c r="B13" s="11">
        <f t="shared" ref="B13:B76" si="0">EDATE(B12,1)</f>
        <v>46082</v>
      </c>
      <c r="C13" s="12">
        <f t="shared" ref="C13:C76" si="1">G12</f>
        <v>299104.09644592926</v>
      </c>
      <c r="D13" s="13">
        <f t="shared" ref="D13:D76" si="2">IF(G12&lt;=0.1,0,-PMT($C$6,$C$7,$C$3))</f>
        <v>1072.4856461539562</v>
      </c>
      <c r="E13" s="13">
        <f t="shared" ref="E13:E76" si="3">D13-F13</f>
        <v>449.3521118916035</v>
      </c>
      <c r="F13" s="13">
        <f t="shared" ref="F13:F76" si="4">C13*$C$6</f>
        <v>623.13353426235267</v>
      </c>
      <c r="G13" s="12">
        <f t="shared" ref="G13:G76" si="5">C13-E13</f>
        <v>298654.74433403765</v>
      </c>
    </row>
    <row r="14" spans="2:7" x14ac:dyDescent="0.3">
      <c r="B14" s="11">
        <f t="shared" si="0"/>
        <v>46113</v>
      </c>
      <c r="C14" s="12">
        <f t="shared" si="1"/>
        <v>298654.74433403765</v>
      </c>
      <c r="D14" s="13">
        <f t="shared" si="2"/>
        <v>1072.4856461539562</v>
      </c>
      <c r="E14" s="13">
        <f t="shared" si="3"/>
        <v>450.28826212471108</v>
      </c>
      <c r="F14" s="13">
        <f t="shared" si="4"/>
        <v>622.19738402924509</v>
      </c>
      <c r="G14" s="12">
        <f t="shared" si="5"/>
        <v>298204.45607191295</v>
      </c>
    </row>
    <row r="15" spans="2:7" x14ac:dyDescent="0.3">
      <c r="B15" s="11">
        <f t="shared" si="0"/>
        <v>46143</v>
      </c>
      <c r="C15" s="12">
        <f t="shared" si="1"/>
        <v>298204.45607191295</v>
      </c>
      <c r="D15" s="13">
        <f t="shared" si="2"/>
        <v>1072.4856461539562</v>
      </c>
      <c r="E15" s="13">
        <f t="shared" si="3"/>
        <v>451.22636267080418</v>
      </c>
      <c r="F15" s="13">
        <f t="shared" si="4"/>
        <v>621.25928348315199</v>
      </c>
      <c r="G15" s="12">
        <f t="shared" si="5"/>
        <v>297753.22970924212</v>
      </c>
    </row>
    <row r="16" spans="2:7" x14ac:dyDescent="0.3">
      <c r="B16" s="11">
        <f t="shared" si="0"/>
        <v>46174</v>
      </c>
      <c r="C16" s="12">
        <f t="shared" si="1"/>
        <v>297753.22970924212</v>
      </c>
      <c r="D16" s="13">
        <f t="shared" si="2"/>
        <v>1072.4856461539562</v>
      </c>
      <c r="E16" s="13">
        <f t="shared" si="3"/>
        <v>452.16641759303513</v>
      </c>
      <c r="F16" s="13">
        <f t="shared" si="4"/>
        <v>620.31922856092103</v>
      </c>
      <c r="G16" s="12">
        <f t="shared" si="5"/>
        <v>297301.0632916491</v>
      </c>
    </row>
    <row r="17" spans="2:7" x14ac:dyDescent="0.3">
      <c r="B17" s="11">
        <f t="shared" si="0"/>
        <v>46204</v>
      </c>
      <c r="C17" s="12">
        <f t="shared" si="1"/>
        <v>297301.0632916491</v>
      </c>
      <c r="D17" s="13">
        <f t="shared" si="2"/>
        <v>1072.4856461539562</v>
      </c>
      <c r="E17" s="13">
        <f t="shared" si="3"/>
        <v>453.10843096302051</v>
      </c>
      <c r="F17" s="13">
        <f t="shared" si="4"/>
        <v>619.37721519093566</v>
      </c>
      <c r="G17" s="12">
        <f t="shared" si="5"/>
        <v>296847.95486068609</v>
      </c>
    </row>
    <row r="18" spans="2:7" x14ac:dyDescent="0.3">
      <c r="B18" s="11">
        <f t="shared" si="0"/>
        <v>46235</v>
      </c>
      <c r="C18" s="12">
        <f t="shared" si="1"/>
        <v>296847.95486068609</v>
      </c>
      <c r="D18" s="13">
        <f t="shared" si="2"/>
        <v>1072.4856461539562</v>
      </c>
      <c r="E18" s="13">
        <f t="shared" si="3"/>
        <v>454.05240686086017</v>
      </c>
      <c r="F18" s="13">
        <f t="shared" si="4"/>
        <v>618.43323929309599</v>
      </c>
      <c r="G18" s="12">
        <f t="shared" si="5"/>
        <v>296393.90245382523</v>
      </c>
    </row>
    <row r="19" spans="2:7" x14ac:dyDescent="0.3">
      <c r="B19" s="11">
        <f t="shared" si="0"/>
        <v>46266</v>
      </c>
      <c r="C19" s="12">
        <f t="shared" si="1"/>
        <v>296393.90245382523</v>
      </c>
      <c r="D19" s="13">
        <f t="shared" si="2"/>
        <v>1072.4856461539562</v>
      </c>
      <c r="E19" s="13">
        <f t="shared" si="3"/>
        <v>454.99834937515357</v>
      </c>
      <c r="F19" s="13">
        <f t="shared" si="4"/>
        <v>617.4872967788026</v>
      </c>
      <c r="G19" s="12">
        <f t="shared" si="5"/>
        <v>295938.90410445008</v>
      </c>
    </row>
    <row r="20" spans="2:7" x14ac:dyDescent="0.3">
      <c r="B20" s="11">
        <f t="shared" si="0"/>
        <v>46296</v>
      </c>
      <c r="C20" s="12">
        <f t="shared" si="1"/>
        <v>295938.90410445008</v>
      </c>
      <c r="D20" s="13">
        <f t="shared" si="2"/>
        <v>1072.4856461539562</v>
      </c>
      <c r="E20" s="13">
        <f t="shared" si="3"/>
        <v>455.94626260301857</v>
      </c>
      <c r="F20" s="13">
        <f t="shared" si="4"/>
        <v>616.5393835509376</v>
      </c>
      <c r="G20" s="12">
        <f t="shared" si="5"/>
        <v>295482.95784184703</v>
      </c>
    </row>
    <row r="21" spans="2:7" x14ac:dyDescent="0.3">
      <c r="B21" s="11">
        <f t="shared" si="0"/>
        <v>46327</v>
      </c>
      <c r="C21" s="12">
        <f t="shared" si="1"/>
        <v>295482.95784184703</v>
      </c>
      <c r="D21" s="13">
        <f t="shared" si="2"/>
        <v>1072.4856461539562</v>
      </c>
      <c r="E21" s="13">
        <f t="shared" si="3"/>
        <v>456.89615065010821</v>
      </c>
      <c r="F21" s="13">
        <f t="shared" si="4"/>
        <v>615.58949550384796</v>
      </c>
      <c r="G21" s="12">
        <f t="shared" si="5"/>
        <v>295026.06169119693</v>
      </c>
    </row>
    <row r="22" spans="2:7" x14ac:dyDescent="0.3">
      <c r="B22" s="11">
        <f t="shared" si="0"/>
        <v>46357</v>
      </c>
      <c r="C22" s="12">
        <f t="shared" si="1"/>
        <v>295026.06169119693</v>
      </c>
      <c r="D22" s="13">
        <f t="shared" si="2"/>
        <v>1072.4856461539562</v>
      </c>
      <c r="E22" s="13">
        <f t="shared" si="3"/>
        <v>457.84801763062922</v>
      </c>
      <c r="F22" s="13">
        <f t="shared" si="4"/>
        <v>614.63762852332695</v>
      </c>
      <c r="G22" s="12">
        <f>C22-E22</f>
        <v>294568.21367356629</v>
      </c>
    </row>
    <row r="23" spans="2:7" x14ac:dyDescent="0.3">
      <c r="B23" s="11">
        <f t="shared" si="0"/>
        <v>46388</v>
      </c>
      <c r="C23" s="12">
        <f t="shared" si="1"/>
        <v>294568.21367356629</v>
      </c>
      <c r="D23" s="13">
        <f t="shared" si="2"/>
        <v>1072.4856461539562</v>
      </c>
      <c r="E23" s="13">
        <f t="shared" si="3"/>
        <v>458.80186766735972</v>
      </c>
      <c r="F23" s="13">
        <f t="shared" si="4"/>
        <v>613.68377848659645</v>
      </c>
      <c r="G23" s="12">
        <f t="shared" si="5"/>
        <v>294109.41180589894</v>
      </c>
    </row>
    <row r="24" spans="2:7" x14ac:dyDescent="0.3">
      <c r="B24" s="11">
        <f t="shared" si="0"/>
        <v>46419</v>
      </c>
      <c r="C24" s="12">
        <f t="shared" si="1"/>
        <v>294109.41180589894</v>
      </c>
      <c r="D24" s="13">
        <f t="shared" si="2"/>
        <v>1072.4856461539562</v>
      </c>
      <c r="E24" s="13">
        <f t="shared" si="3"/>
        <v>459.75770489166666</v>
      </c>
      <c r="F24" s="13">
        <f t="shared" si="4"/>
        <v>612.72794126228951</v>
      </c>
      <c r="G24" s="12">
        <f t="shared" si="5"/>
        <v>293649.65410100727</v>
      </c>
    </row>
    <row r="25" spans="2:7" x14ac:dyDescent="0.3">
      <c r="B25" s="11">
        <f t="shared" si="0"/>
        <v>46447</v>
      </c>
      <c r="C25" s="12">
        <f t="shared" si="1"/>
        <v>293649.65410100727</v>
      </c>
      <c r="D25" s="13">
        <f t="shared" si="2"/>
        <v>1072.4856461539562</v>
      </c>
      <c r="E25" s="13">
        <f t="shared" si="3"/>
        <v>460.71553344352435</v>
      </c>
      <c r="F25" s="13">
        <f t="shared" si="4"/>
        <v>611.77011271043182</v>
      </c>
      <c r="G25" s="12">
        <f t="shared" si="5"/>
        <v>293188.93856756372</v>
      </c>
    </row>
    <row r="26" spans="2:7" x14ac:dyDescent="0.3">
      <c r="B26" s="11">
        <f t="shared" si="0"/>
        <v>46478</v>
      </c>
      <c r="C26" s="12">
        <f t="shared" si="1"/>
        <v>293188.93856756372</v>
      </c>
      <c r="D26" s="13">
        <f t="shared" si="2"/>
        <v>1072.4856461539562</v>
      </c>
      <c r="E26" s="13">
        <f t="shared" si="3"/>
        <v>461.67535747153181</v>
      </c>
      <c r="F26" s="13">
        <f t="shared" si="4"/>
        <v>610.81028868242436</v>
      </c>
      <c r="G26" s="12">
        <f t="shared" si="5"/>
        <v>292727.26321009221</v>
      </c>
    </row>
    <row r="27" spans="2:7" x14ac:dyDescent="0.3">
      <c r="B27" s="11">
        <f t="shared" si="0"/>
        <v>46508</v>
      </c>
      <c r="C27" s="12">
        <f t="shared" si="1"/>
        <v>292727.26321009221</v>
      </c>
      <c r="D27" s="13">
        <f t="shared" si="2"/>
        <v>1072.4856461539562</v>
      </c>
      <c r="E27" s="13">
        <f t="shared" si="3"/>
        <v>462.63718113293078</v>
      </c>
      <c r="F27" s="13">
        <f t="shared" si="4"/>
        <v>609.84846502102539</v>
      </c>
      <c r="G27" s="12">
        <f t="shared" si="5"/>
        <v>292264.62602895929</v>
      </c>
    </row>
    <row r="28" spans="2:7" x14ac:dyDescent="0.3">
      <c r="B28" s="11">
        <f t="shared" si="0"/>
        <v>46539</v>
      </c>
      <c r="C28" s="12">
        <f t="shared" si="1"/>
        <v>292264.62602895929</v>
      </c>
      <c r="D28" s="13">
        <f t="shared" si="2"/>
        <v>1072.4856461539562</v>
      </c>
      <c r="E28" s="13">
        <f t="shared" si="3"/>
        <v>463.60100859362433</v>
      </c>
      <c r="F28" s="13">
        <f t="shared" si="4"/>
        <v>608.88463756033184</v>
      </c>
      <c r="G28" s="12">
        <f t="shared" si="5"/>
        <v>291801.02502036566</v>
      </c>
    </row>
    <row r="29" spans="2:7" x14ac:dyDescent="0.3">
      <c r="B29" s="11">
        <f t="shared" si="0"/>
        <v>46569</v>
      </c>
      <c r="C29" s="12">
        <f t="shared" si="1"/>
        <v>291801.02502036566</v>
      </c>
      <c r="D29" s="13">
        <f t="shared" si="2"/>
        <v>1072.4856461539562</v>
      </c>
      <c r="E29" s="13">
        <f t="shared" si="3"/>
        <v>464.5668440281944</v>
      </c>
      <c r="F29" s="13">
        <f t="shared" si="4"/>
        <v>607.91880212576177</v>
      </c>
      <c r="G29" s="12">
        <f t="shared" si="5"/>
        <v>291336.45817633747</v>
      </c>
    </row>
    <row r="30" spans="2:7" x14ac:dyDescent="0.3">
      <c r="B30" s="11">
        <f t="shared" si="0"/>
        <v>46600</v>
      </c>
      <c r="C30" s="12">
        <f t="shared" si="1"/>
        <v>291336.45817633747</v>
      </c>
      <c r="D30" s="13">
        <f t="shared" si="2"/>
        <v>1072.4856461539562</v>
      </c>
      <c r="E30" s="13">
        <f t="shared" si="3"/>
        <v>465.53469161991973</v>
      </c>
      <c r="F30" s="13">
        <f t="shared" si="4"/>
        <v>606.95095453403644</v>
      </c>
      <c r="G30" s="12">
        <f t="shared" si="5"/>
        <v>290870.92348471755</v>
      </c>
    </row>
    <row r="31" spans="2:7" x14ac:dyDescent="0.3">
      <c r="B31" s="11">
        <f t="shared" si="0"/>
        <v>46631</v>
      </c>
      <c r="C31" s="12">
        <f t="shared" si="1"/>
        <v>290870.92348471755</v>
      </c>
      <c r="D31" s="13">
        <f t="shared" si="2"/>
        <v>1072.4856461539562</v>
      </c>
      <c r="E31" s="13">
        <f t="shared" si="3"/>
        <v>466.50455556079464</v>
      </c>
      <c r="F31" s="13">
        <f t="shared" si="4"/>
        <v>605.98109059316153</v>
      </c>
      <c r="G31" s="12">
        <f t="shared" si="5"/>
        <v>290404.41892915673</v>
      </c>
    </row>
    <row r="32" spans="2:7" x14ac:dyDescent="0.3">
      <c r="B32" s="11">
        <f t="shared" si="0"/>
        <v>46661</v>
      </c>
      <c r="C32" s="12">
        <f t="shared" si="1"/>
        <v>290404.41892915673</v>
      </c>
      <c r="D32" s="13">
        <f t="shared" si="2"/>
        <v>1072.4856461539562</v>
      </c>
      <c r="E32" s="13">
        <f t="shared" si="3"/>
        <v>467.47644005154632</v>
      </c>
      <c r="F32" s="13">
        <f t="shared" si="4"/>
        <v>605.00920610240985</v>
      </c>
      <c r="G32" s="12">
        <f t="shared" si="5"/>
        <v>289936.94248910516</v>
      </c>
    </row>
    <row r="33" spans="2:7" x14ac:dyDescent="0.3">
      <c r="B33" s="11">
        <f t="shared" si="0"/>
        <v>46692</v>
      </c>
      <c r="C33" s="12">
        <f t="shared" si="1"/>
        <v>289936.94248910516</v>
      </c>
      <c r="D33" s="13">
        <f t="shared" si="2"/>
        <v>1072.4856461539562</v>
      </c>
      <c r="E33" s="13">
        <f t="shared" si="3"/>
        <v>468.45034930165377</v>
      </c>
      <c r="F33" s="13">
        <f t="shared" si="4"/>
        <v>604.03529685230239</v>
      </c>
      <c r="G33" s="12">
        <f t="shared" si="5"/>
        <v>289468.49213980348</v>
      </c>
    </row>
    <row r="34" spans="2:7" x14ac:dyDescent="0.3">
      <c r="B34" s="11">
        <f t="shared" si="0"/>
        <v>46722</v>
      </c>
      <c r="C34" s="12">
        <f t="shared" si="1"/>
        <v>289468.49213980348</v>
      </c>
      <c r="D34" s="13">
        <f t="shared" si="2"/>
        <v>1072.4856461539562</v>
      </c>
      <c r="E34" s="13">
        <f t="shared" si="3"/>
        <v>469.4262875293656</v>
      </c>
      <c r="F34" s="13">
        <f t="shared" si="4"/>
        <v>603.05935862459057</v>
      </c>
      <c r="G34" s="12">
        <f t="shared" si="5"/>
        <v>288999.06585227413</v>
      </c>
    </row>
    <row r="35" spans="2:7" x14ac:dyDescent="0.3">
      <c r="B35" s="11">
        <f t="shared" si="0"/>
        <v>46753</v>
      </c>
      <c r="C35" s="12">
        <f t="shared" si="1"/>
        <v>288999.06585227413</v>
      </c>
      <c r="D35" s="13">
        <f t="shared" si="2"/>
        <v>1072.4856461539562</v>
      </c>
      <c r="E35" s="13">
        <f t="shared" si="3"/>
        <v>470.40425896171837</v>
      </c>
      <c r="F35" s="13">
        <f t="shared" si="4"/>
        <v>602.0813871922378</v>
      </c>
      <c r="G35" s="12">
        <f t="shared" si="5"/>
        <v>288528.6615933124</v>
      </c>
    </row>
    <row r="36" spans="2:7" x14ac:dyDescent="0.3">
      <c r="B36" s="11">
        <f t="shared" si="0"/>
        <v>46784</v>
      </c>
      <c r="C36" s="12">
        <f t="shared" si="1"/>
        <v>288528.6615933124</v>
      </c>
      <c r="D36" s="13">
        <f t="shared" si="2"/>
        <v>1072.4856461539562</v>
      </c>
      <c r="E36" s="13">
        <f t="shared" si="3"/>
        <v>471.38426783455532</v>
      </c>
      <c r="F36" s="13">
        <f t="shared" si="4"/>
        <v>601.10137831940085</v>
      </c>
      <c r="G36" s="12">
        <f t="shared" si="5"/>
        <v>288057.27732547786</v>
      </c>
    </row>
    <row r="37" spans="2:7" x14ac:dyDescent="0.3">
      <c r="B37" s="11">
        <f t="shared" si="0"/>
        <v>46813</v>
      </c>
      <c r="C37" s="12">
        <f t="shared" si="1"/>
        <v>288057.27732547786</v>
      </c>
      <c r="D37" s="13">
        <f t="shared" si="2"/>
        <v>1072.4856461539562</v>
      </c>
      <c r="E37" s="13">
        <f t="shared" si="3"/>
        <v>472.36631839254392</v>
      </c>
      <c r="F37" s="13">
        <f t="shared" si="4"/>
        <v>600.11932776141225</v>
      </c>
      <c r="G37" s="12">
        <f t="shared" si="5"/>
        <v>287584.91100708529</v>
      </c>
    </row>
    <row r="38" spans="2:7" x14ac:dyDescent="0.3">
      <c r="B38" s="11">
        <f t="shared" si="0"/>
        <v>46844</v>
      </c>
      <c r="C38" s="12">
        <f t="shared" si="1"/>
        <v>287584.91100708529</v>
      </c>
      <c r="D38" s="13">
        <f t="shared" si="2"/>
        <v>1072.4856461539562</v>
      </c>
      <c r="E38" s="13">
        <f t="shared" si="3"/>
        <v>473.35041488919512</v>
      </c>
      <c r="F38" s="13">
        <f t="shared" si="4"/>
        <v>599.13523126476105</v>
      </c>
      <c r="G38" s="12">
        <f t="shared" si="5"/>
        <v>287111.56059219613</v>
      </c>
    </row>
    <row r="39" spans="2:7" x14ac:dyDescent="0.3">
      <c r="B39" s="11">
        <f t="shared" si="0"/>
        <v>46874</v>
      </c>
      <c r="C39" s="12">
        <f t="shared" si="1"/>
        <v>287111.56059219613</v>
      </c>
      <c r="D39" s="13">
        <f t="shared" si="2"/>
        <v>1072.4856461539562</v>
      </c>
      <c r="E39" s="13">
        <f t="shared" si="3"/>
        <v>474.33656158688086</v>
      </c>
      <c r="F39" s="13">
        <f t="shared" si="4"/>
        <v>598.14908456707531</v>
      </c>
      <c r="G39" s="12">
        <f t="shared" si="5"/>
        <v>286637.22403060924</v>
      </c>
    </row>
    <row r="40" spans="2:7" x14ac:dyDescent="0.3">
      <c r="B40" s="11">
        <f t="shared" si="0"/>
        <v>46905</v>
      </c>
      <c r="C40" s="12">
        <f t="shared" si="1"/>
        <v>286637.22403060924</v>
      </c>
      <c r="D40" s="13">
        <f t="shared" si="2"/>
        <v>1072.4856461539562</v>
      </c>
      <c r="E40" s="13">
        <f t="shared" si="3"/>
        <v>475.3247627568536</v>
      </c>
      <c r="F40" s="13">
        <f t="shared" si="4"/>
        <v>597.16088339710257</v>
      </c>
      <c r="G40" s="12">
        <f t="shared" si="5"/>
        <v>286161.89926785236</v>
      </c>
    </row>
    <row r="41" spans="2:7" x14ac:dyDescent="0.3">
      <c r="B41" s="11">
        <f t="shared" si="0"/>
        <v>46935</v>
      </c>
      <c r="C41" s="12">
        <f t="shared" si="1"/>
        <v>286161.89926785236</v>
      </c>
      <c r="D41" s="13">
        <f t="shared" si="2"/>
        <v>1072.4856461539562</v>
      </c>
      <c r="E41" s="13">
        <f t="shared" si="3"/>
        <v>476.31502267926373</v>
      </c>
      <c r="F41" s="13">
        <f t="shared" si="4"/>
        <v>596.17062347469243</v>
      </c>
      <c r="G41" s="12">
        <f t="shared" si="5"/>
        <v>285685.58424517309</v>
      </c>
    </row>
    <row r="42" spans="2:7" x14ac:dyDescent="0.3">
      <c r="B42" s="11">
        <f t="shared" si="0"/>
        <v>46966</v>
      </c>
      <c r="C42" s="12">
        <f t="shared" si="1"/>
        <v>285685.58424517309</v>
      </c>
      <c r="D42" s="13">
        <f t="shared" si="2"/>
        <v>1072.4856461539562</v>
      </c>
      <c r="E42" s="13">
        <f t="shared" si="3"/>
        <v>477.30734564317891</v>
      </c>
      <c r="F42" s="13">
        <f t="shared" si="4"/>
        <v>595.17830051077726</v>
      </c>
      <c r="G42" s="12">
        <f t="shared" si="5"/>
        <v>285208.27689952991</v>
      </c>
    </row>
    <row r="43" spans="2:7" x14ac:dyDescent="0.3">
      <c r="B43" s="11">
        <f t="shared" si="0"/>
        <v>46997</v>
      </c>
      <c r="C43" s="12">
        <f t="shared" si="1"/>
        <v>285208.27689952991</v>
      </c>
      <c r="D43" s="13">
        <f t="shared" si="2"/>
        <v>1072.4856461539562</v>
      </c>
      <c r="E43" s="13">
        <f t="shared" si="3"/>
        <v>478.30173594660221</v>
      </c>
      <c r="F43" s="13">
        <f t="shared" si="4"/>
        <v>594.18391020735396</v>
      </c>
      <c r="G43" s="12">
        <f t="shared" si="5"/>
        <v>284729.97516358329</v>
      </c>
    </row>
    <row r="44" spans="2:7" x14ac:dyDescent="0.3">
      <c r="B44" s="11">
        <f t="shared" si="0"/>
        <v>47027</v>
      </c>
      <c r="C44" s="12">
        <f t="shared" si="1"/>
        <v>284729.97516358329</v>
      </c>
      <c r="D44" s="13">
        <f t="shared" si="2"/>
        <v>1072.4856461539562</v>
      </c>
      <c r="E44" s="13">
        <f t="shared" si="3"/>
        <v>479.29819789649093</v>
      </c>
      <c r="F44" s="13">
        <f t="shared" si="4"/>
        <v>593.18744825746523</v>
      </c>
      <c r="G44" s="12">
        <f t="shared" si="5"/>
        <v>284250.67696568678</v>
      </c>
    </row>
    <row r="45" spans="2:7" x14ac:dyDescent="0.3">
      <c r="B45" s="11">
        <f t="shared" si="0"/>
        <v>47058</v>
      </c>
      <c r="C45" s="12">
        <f t="shared" si="1"/>
        <v>284250.67696568678</v>
      </c>
      <c r="D45" s="13">
        <f t="shared" si="2"/>
        <v>1072.4856461539562</v>
      </c>
      <c r="E45" s="13">
        <f t="shared" si="3"/>
        <v>480.29673580877534</v>
      </c>
      <c r="F45" s="13">
        <f t="shared" si="4"/>
        <v>592.18891034518083</v>
      </c>
      <c r="G45" s="12">
        <f t="shared" si="5"/>
        <v>283770.38022987801</v>
      </c>
    </row>
    <row r="46" spans="2:7" x14ac:dyDescent="0.3">
      <c r="B46" s="11">
        <f t="shared" si="0"/>
        <v>47088</v>
      </c>
      <c r="C46" s="12">
        <f t="shared" si="1"/>
        <v>283770.38022987801</v>
      </c>
      <c r="D46" s="13">
        <f t="shared" si="2"/>
        <v>1072.4856461539562</v>
      </c>
      <c r="E46" s="13">
        <f t="shared" si="3"/>
        <v>481.29735400837694</v>
      </c>
      <c r="F46" s="13">
        <f t="shared" si="4"/>
        <v>591.18829214557923</v>
      </c>
      <c r="G46" s="12">
        <f t="shared" si="5"/>
        <v>283289.08287586964</v>
      </c>
    </row>
    <row r="47" spans="2:7" x14ac:dyDescent="0.3">
      <c r="B47" s="11">
        <f t="shared" si="0"/>
        <v>47119</v>
      </c>
      <c r="C47" s="12">
        <f t="shared" si="1"/>
        <v>283289.08287586964</v>
      </c>
      <c r="D47" s="13">
        <f t="shared" si="2"/>
        <v>1072.4856461539562</v>
      </c>
      <c r="E47" s="13">
        <f t="shared" si="3"/>
        <v>482.30005682922774</v>
      </c>
      <c r="F47" s="13">
        <f t="shared" si="4"/>
        <v>590.18558932472843</v>
      </c>
      <c r="G47" s="12">
        <f t="shared" si="5"/>
        <v>282806.78281904041</v>
      </c>
    </row>
    <row r="48" spans="2:7" x14ac:dyDescent="0.3">
      <c r="B48" s="11">
        <f t="shared" si="0"/>
        <v>47150</v>
      </c>
      <c r="C48" s="12">
        <f t="shared" si="1"/>
        <v>282806.78281904041</v>
      </c>
      <c r="D48" s="13">
        <f t="shared" si="2"/>
        <v>1072.4856461539562</v>
      </c>
      <c r="E48" s="13">
        <f t="shared" si="3"/>
        <v>483.30484861428863</v>
      </c>
      <c r="F48" s="13">
        <f t="shared" si="4"/>
        <v>589.18079753966754</v>
      </c>
      <c r="G48" s="12">
        <f t="shared" si="5"/>
        <v>282323.47797042615</v>
      </c>
    </row>
    <row r="49" spans="2:7" x14ac:dyDescent="0.3">
      <c r="B49" s="11">
        <f t="shared" si="0"/>
        <v>47178</v>
      </c>
      <c r="C49" s="12">
        <f t="shared" si="1"/>
        <v>282323.47797042615</v>
      </c>
      <c r="D49" s="13">
        <f t="shared" si="2"/>
        <v>1072.4856461539562</v>
      </c>
      <c r="E49" s="13">
        <f t="shared" si="3"/>
        <v>484.31173371556838</v>
      </c>
      <c r="F49" s="13">
        <f t="shared" si="4"/>
        <v>588.17391243838779</v>
      </c>
      <c r="G49" s="12">
        <f t="shared" si="5"/>
        <v>281839.16623671056</v>
      </c>
    </row>
    <row r="50" spans="2:7" x14ac:dyDescent="0.3">
      <c r="B50" s="11">
        <f t="shared" si="0"/>
        <v>47209</v>
      </c>
      <c r="C50" s="12">
        <f t="shared" si="1"/>
        <v>281839.16623671056</v>
      </c>
      <c r="D50" s="13">
        <f t="shared" si="2"/>
        <v>1072.4856461539562</v>
      </c>
      <c r="E50" s="13">
        <f t="shared" si="3"/>
        <v>485.32071649414252</v>
      </c>
      <c r="F50" s="13">
        <f t="shared" si="4"/>
        <v>587.16492965981365</v>
      </c>
      <c r="G50" s="12">
        <f t="shared" si="5"/>
        <v>281353.84552021639</v>
      </c>
    </row>
    <row r="51" spans="2:7" x14ac:dyDescent="0.3">
      <c r="B51" s="11">
        <f t="shared" si="0"/>
        <v>47239</v>
      </c>
      <c r="C51" s="12">
        <f t="shared" si="1"/>
        <v>281353.84552021639</v>
      </c>
      <c r="D51" s="13">
        <f t="shared" si="2"/>
        <v>1072.4856461539562</v>
      </c>
      <c r="E51" s="13">
        <f t="shared" si="3"/>
        <v>486.33180132017208</v>
      </c>
      <c r="F51" s="13">
        <f t="shared" si="4"/>
        <v>586.15384483378409</v>
      </c>
      <c r="G51" s="12">
        <f t="shared" si="5"/>
        <v>280867.5137188962</v>
      </c>
    </row>
    <row r="52" spans="2:7" x14ac:dyDescent="0.3">
      <c r="B52" s="11">
        <f t="shared" si="0"/>
        <v>47270</v>
      </c>
      <c r="C52" s="12">
        <f t="shared" si="1"/>
        <v>280867.5137188962</v>
      </c>
      <c r="D52" s="13">
        <f t="shared" si="2"/>
        <v>1072.4856461539562</v>
      </c>
      <c r="E52" s="13">
        <f t="shared" si="3"/>
        <v>487.34499257292248</v>
      </c>
      <c r="F52" s="13">
        <f t="shared" si="4"/>
        <v>585.14065358103369</v>
      </c>
      <c r="G52" s="12">
        <f t="shared" si="5"/>
        <v>280380.16872632329</v>
      </c>
    </row>
    <row r="53" spans="2:7" x14ac:dyDescent="0.3">
      <c r="B53" s="11">
        <f t="shared" si="0"/>
        <v>47300</v>
      </c>
      <c r="C53" s="12">
        <f t="shared" si="1"/>
        <v>280380.16872632329</v>
      </c>
      <c r="D53" s="13">
        <f t="shared" si="2"/>
        <v>1072.4856461539562</v>
      </c>
      <c r="E53" s="13">
        <f t="shared" si="3"/>
        <v>488.36029464078263</v>
      </c>
      <c r="F53" s="13">
        <f t="shared" si="4"/>
        <v>584.12535151317354</v>
      </c>
      <c r="G53" s="12">
        <f t="shared" si="5"/>
        <v>279891.80843168253</v>
      </c>
    </row>
    <row r="54" spans="2:7" x14ac:dyDescent="0.3">
      <c r="B54" s="11">
        <f t="shared" si="0"/>
        <v>47331</v>
      </c>
      <c r="C54" s="12">
        <f t="shared" si="1"/>
        <v>279891.80843168253</v>
      </c>
      <c r="D54" s="13">
        <f t="shared" si="2"/>
        <v>1072.4856461539562</v>
      </c>
      <c r="E54" s="13">
        <f t="shared" si="3"/>
        <v>489.37771192128423</v>
      </c>
      <c r="F54" s="13">
        <f t="shared" si="4"/>
        <v>583.10793423267194</v>
      </c>
      <c r="G54" s="12">
        <f t="shared" si="5"/>
        <v>279402.43071976124</v>
      </c>
    </row>
    <row r="55" spans="2:7" x14ac:dyDescent="0.3">
      <c r="B55" s="11">
        <f t="shared" si="0"/>
        <v>47362</v>
      </c>
      <c r="C55" s="12">
        <f t="shared" si="1"/>
        <v>279402.43071976124</v>
      </c>
      <c r="D55" s="13">
        <f t="shared" si="2"/>
        <v>1072.4856461539562</v>
      </c>
      <c r="E55" s="13">
        <f t="shared" si="3"/>
        <v>490.39724882112023</v>
      </c>
      <c r="F55" s="13">
        <f t="shared" si="4"/>
        <v>582.08839733283594</v>
      </c>
      <c r="G55" s="12">
        <f t="shared" si="5"/>
        <v>278912.03347094014</v>
      </c>
    </row>
    <row r="56" spans="2:7" x14ac:dyDescent="0.3">
      <c r="B56" s="11">
        <f t="shared" si="0"/>
        <v>47392</v>
      </c>
      <c r="C56" s="12">
        <f t="shared" si="1"/>
        <v>278912.03347094014</v>
      </c>
      <c r="D56" s="13">
        <f t="shared" si="2"/>
        <v>1072.4856461539562</v>
      </c>
      <c r="E56" s="13">
        <f t="shared" si="3"/>
        <v>491.41890975616423</v>
      </c>
      <c r="F56" s="13">
        <f t="shared" si="4"/>
        <v>581.06673639779194</v>
      </c>
      <c r="G56" s="12">
        <f t="shared" si="5"/>
        <v>278420.61456118396</v>
      </c>
    </row>
    <row r="57" spans="2:7" x14ac:dyDescent="0.3">
      <c r="B57" s="11">
        <f t="shared" si="0"/>
        <v>47423</v>
      </c>
      <c r="C57" s="12">
        <f t="shared" si="1"/>
        <v>278420.61456118396</v>
      </c>
      <c r="D57" s="13">
        <f t="shared" si="2"/>
        <v>1072.4856461539562</v>
      </c>
      <c r="E57" s="13">
        <f t="shared" si="3"/>
        <v>492.44269915148959</v>
      </c>
      <c r="F57" s="13">
        <f t="shared" si="4"/>
        <v>580.04294700246658</v>
      </c>
      <c r="G57" s="12">
        <f t="shared" si="5"/>
        <v>277928.1718620325</v>
      </c>
    </row>
    <row r="58" spans="2:7" x14ac:dyDescent="0.3">
      <c r="B58" s="11">
        <f t="shared" si="0"/>
        <v>47453</v>
      </c>
      <c r="C58" s="12">
        <f t="shared" si="1"/>
        <v>277928.1718620325</v>
      </c>
      <c r="D58" s="13">
        <f t="shared" si="2"/>
        <v>1072.4856461539562</v>
      </c>
      <c r="E58" s="13">
        <f t="shared" si="3"/>
        <v>493.46862144138845</v>
      </c>
      <c r="F58" s="13">
        <f t="shared" si="4"/>
        <v>579.01702471256772</v>
      </c>
      <c r="G58" s="12">
        <f t="shared" si="5"/>
        <v>277434.7032405911</v>
      </c>
    </row>
    <row r="59" spans="2:7" x14ac:dyDescent="0.3">
      <c r="B59" s="11">
        <f t="shared" si="0"/>
        <v>47484</v>
      </c>
      <c r="C59" s="12">
        <f t="shared" si="1"/>
        <v>277434.7032405911</v>
      </c>
      <c r="D59" s="13">
        <f t="shared" si="2"/>
        <v>1072.4856461539562</v>
      </c>
      <c r="E59" s="13">
        <f t="shared" si="3"/>
        <v>494.49668106939134</v>
      </c>
      <c r="F59" s="13">
        <f t="shared" si="4"/>
        <v>577.98896508456482</v>
      </c>
      <c r="G59" s="12">
        <f t="shared" si="5"/>
        <v>276940.20655952173</v>
      </c>
    </row>
    <row r="60" spans="2:7" x14ac:dyDescent="0.3">
      <c r="B60" s="11">
        <f t="shared" si="0"/>
        <v>47515</v>
      </c>
      <c r="C60" s="12">
        <f t="shared" si="1"/>
        <v>276940.20655952173</v>
      </c>
      <c r="D60" s="13">
        <f t="shared" si="2"/>
        <v>1072.4856461539562</v>
      </c>
      <c r="E60" s="13">
        <f t="shared" si="3"/>
        <v>495.52688248828588</v>
      </c>
      <c r="F60" s="13">
        <f t="shared" si="4"/>
        <v>576.95876366567029</v>
      </c>
      <c r="G60" s="12">
        <f t="shared" si="5"/>
        <v>276444.67967703345</v>
      </c>
    </row>
    <row r="61" spans="2:7" x14ac:dyDescent="0.3">
      <c r="B61" s="11">
        <f t="shared" si="0"/>
        <v>47543</v>
      </c>
      <c r="C61" s="12">
        <f t="shared" si="1"/>
        <v>276444.67967703345</v>
      </c>
      <c r="D61" s="13">
        <f t="shared" si="2"/>
        <v>1072.4856461539562</v>
      </c>
      <c r="E61" s="13">
        <f t="shared" si="3"/>
        <v>496.55923016013651</v>
      </c>
      <c r="F61" s="13">
        <f t="shared" si="4"/>
        <v>575.92641599381966</v>
      </c>
      <c r="G61" s="12">
        <f t="shared" si="5"/>
        <v>275948.1204468733</v>
      </c>
    </row>
    <row r="62" spans="2:7" x14ac:dyDescent="0.3">
      <c r="B62" s="11">
        <f t="shared" si="0"/>
        <v>47574</v>
      </c>
      <c r="C62" s="12">
        <f t="shared" si="1"/>
        <v>275948.1204468733</v>
      </c>
      <c r="D62" s="13">
        <f t="shared" si="2"/>
        <v>1072.4856461539562</v>
      </c>
      <c r="E62" s="13">
        <f t="shared" si="3"/>
        <v>497.5937285563034</v>
      </c>
      <c r="F62" s="13">
        <f t="shared" si="4"/>
        <v>574.89191759765276</v>
      </c>
      <c r="G62" s="12">
        <f t="shared" si="5"/>
        <v>275450.52671831701</v>
      </c>
    </row>
    <row r="63" spans="2:7" x14ac:dyDescent="0.3">
      <c r="B63" s="11">
        <f t="shared" si="0"/>
        <v>47604</v>
      </c>
      <c r="C63" s="12">
        <f t="shared" si="1"/>
        <v>275450.52671831701</v>
      </c>
      <c r="D63" s="13">
        <f t="shared" si="2"/>
        <v>1072.4856461539562</v>
      </c>
      <c r="E63" s="13">
        <f t="shared" si="3"/>
        <v>498.63038215746246</v>
      </c>
      <c r="F63" s="13">
        <f t="shared" si="4"/>
        <v>573.8552639964937</v>
      </c>
      <c r="G63" s="12">
        <f t="shared" si="5"/>
        <v>274951.89633615955</v>
      </c>
    </row>
    <row r="64" spans="2:7" x14ac:dyDescent="0.3">
      <c r="B64" s="11">
        <f t="shared" si="0"/>
        <v>47635</v>
      </c>
      <c r="C64" s="12">
        <f t="shared" si="1"/>
        <v>274951.89633615955</v>
      </c>
      <c r="D64" s="13">
        <f t="shared" si="2"/>
        <v>1072.4856461539562</v>
      </c>
      <c r="E64" s="13">
        <f t="shared" si="3"/>
        <v>499.66919545362373</v>
      </c>
      <c r="F64" s="13">
        <f t="shared" si="4"/>
        <v>572.81645070033244</v>
      </c>
      <c r="G64" s="12">
        <f t="shared" si="5"/>
        <v>274452.22714070592</v>
      </c>
    </row>
    <row r="65" spans="2:7" x14ac:dyDescent="0.3">
      <c r="B65" s="11">
        <f t="shared" si="0"/>
        <v>47665</v>
      </c>
      <c r="C65" s="12">
        <f t="shared" si="1"/>
        <v>274452.22714070592</v>
      </c>
      <c r="D65" s="13">
        <f t="shared" si="2"/>
        <v>1072.4856461539562</v>
      </c>
      <c r="E65" s="13">
        <f t="shared" si="3"/>
        <v>500.71017294415219</v>
      </c>
      <c r="F65" s="13">
        <f t="shared" si="4"/>
        <v>571.77547320980398</v>
      </c>
      <c r="G65" s="12">
        <f t="shared" si="5"/>
        <v>273951.51696776174</v>
      </c>
    </row>
    <row r="66" spans="2:7" x14ac:dyDescent="0.3">
      <c r="B66" s="11">
        <f t="shared" si="0"/>
        <v>47696</v>
      </c>
      <c r="C66" s="12">
        <f t="shared" si="1"/>
        <v>273951.51696776174</v>
      </c>
      <c r="D66" s="13">
        <f t="shared" si="2"/>
        <v>1072.4856461539562</v>
      </c>
      <c r="E66" s="13">
        <f t="shared" si="3"/>
        <v>501.75331913778587</v>
      </c>
      <c r="F66" s="13">
        <f t="shared" si="4"/>
        <v>570.7323270161703</v>
      </c>
      <c r="G66" s="12">
        <f t="shared" si="5"/>
        <v>273449.76364862395</v>
      </c>
    </row>
    <row r="67" spans="2:7" x14ac:dyDescent="0.3">
      <c r="B67" s="11">
        <f t="shared" si="0"/>
        <v>47727</v>
      </c>
      <c r="C67" s="12">
        <f t="shared" si="1"/>
        <v>273449.76364862395</v>
      </c>
      <c r="D67" s="13">
        <f t="shared" si="2"/>
        <v>1072.4856461539562</v>
      </c>
      <c r="E67" s="13">
        <f t="shared" si="3"/>
        <v>502.79863855265626</v>
      </c>
      <c r="F67" s="13">
        <f t="shared" si="4"/>
        <v>569.68700760129991</v>
      </c>
      <c r="G67" s="12">
        <f t="shared" si="5"/>
        <v>272946.96501007129</v>
      </c>
    </row>
    <row r="68" spans="2:7" x14ac:dyDescent="0.3">
      <c r="B68" s="11">
        <f t="shared" si="0"/>
        <v>47757</v>
      </c>
      <c r="C68" s="12">
        <f t="shared" si="1"/>
        <v>272946.96501007129</v>
      </c>
      <c r="D68" s="13">
        <f t="shared" si="2"/>
        <v>1072.4856461539562</v>
      </c>
      <c r="E68" s="13">
        <f t="shared" si="3"/>
        <v>503.84613571630769</v>
      </c>
      <c r="F68" s="13">
        <f t="shared" si="4"/>
        <v>568.63951043764848</v>
      </c>
      <c r="G68" s="12">
        <f t="shared" si="5"/>
        <v>272443.11887435499</v>
      </c>
    </row>
    <row r="69" spans="2:7" x14ac:dyDescent="0.3">
      <c r="B69" s="11">
        <f t="shared" si="0"/>
        <v>47788</v>
      </c>
      <c r="C69" s="12">
        <f t="shared" si="1"/>
        <v>272443.11887435499</v>
      </c>
      <c r="D69" s="13">
        <f t="shared" si="2"/>
        <v>1072.4856461539562</v>
      </c>
      <c r="E69" s="13">
        <f t="shared" si="3"/>
        <v>504.89581516571661</v>
      </c>
      <c r="F69" s="13">
        <f t="shared" si="4"/>
        <v>567.58983098823956</v>
      </c>
      <c r="G69" s="12">
        <f t="shared" si="5"/>
        <v>271938.22305918927</v>
      </c>
    </row>
    <row r="70" spans="2:7" x14ac:dyDescent="0.3">
      <c r="B70" s="11">
        <f t="shared" si="0"/>
        <v>47818</v>
      </c>
      <c r="C70" s="12">
        <f t="shared" si="1"/>
        <v>271938.22305918927</v>
      </c>
      <c r="D70" s="13">
        <f t="shared" si="2"/>
        <v>1072.4856461539562</v>
      </c>
      <c r="E70" s="13">
        <f t="shared" si="3"/>
        <v>505.94768144731188</v>
      </c>
      <c r="F70" s="13">
        <f t="shared" si="4"/>
        <v>566.53796470664429</v>
      </c>
      <c r="G70" s="12">
        <f t="shared" si="5"/>
        <v>271432.27537774196</v>
      </c>
    </row>
    <row r="71" spans="2:7" x14ac:dyDescent="0.3">
      <c r="B71" s="11">
        <f t="shared" si="0"/>
        <v>47849</v>
      </c>
      <c r="C71" s="12">
        <f t="shared" si="1"/>
        <v>271432.27537774196</v>
      </c>
      <c r="D71" s="13">
        <f t="shared" si="2"/>
        <v>1072.4856461539562</v>
      </c>
      <c r="E71" s="13">
        <f t="shared" si="3"/>
        <v>507.0017391169938</v>
      </c>
      <c r="F71" s="13">
        <f t="shared" si="4"/>
        <v>565.48390703696236</v>
      </c>
      <c r="G71" s="12">
        <f t="shared" si="5"/>
        <v>270925.27363862499</v>
      </c>
    </row>
    <row r="72" spans="2:7" x14ac:dyDescent="0.3">
      <c r="B72" s="11">
        <f t="shared" si="0"/>
        <v>47880</v>
      </c>
      <c r="C72" s="12">
        <f t="shared" si="1"/>
        <v>270925.27363862499</v>
      </c>
      <c r="D72" s="13">
        <f t="shared" si="2"/>
        <v>1072.4856461539562</v>
      </c>
      <c r="E72" s="13">
        <f t="shared" si="3"/>
        <v>508.05799274015408</v>
      </c>
      <c r="F72" s="13">
        <f t="shared" si="4"/>
        <v>564.42765341380209</v>
      </c>
      <c r="G72" s="12">
        <f t="shared" si="5"/>
        <v>270417.21564588486</v>
      </c>
    </row>
    <row r="73" spans="2:7" x14ac:dyDescent="0.3">
      <c r="B73" s="11">
        <f t="shared" si="0"/>
        <v>47908</v>
      </c>
      <c r="C73" s="12">
        <f t="shared" si="1"/>
        <v>270417.21564588486</v>
      </c>
      <c r="D73" s="13">
        <f t="shared" si="2"/>
        <v>1072.4856461539562</v>
      </c>
      <c r="E73" s="13">
        <f t="shared" si="3"/>
        <v>509.116446891696</v>
      </c>
      <c r="F73" s="13">
        <f t="shared" si="4"/>
        <v>563.36919926226017</v>
      </c>
      <c r="G73" s="12">
        <f t="shared" si="5"/>
        <v>269908.09919899318</v>
      </c>
    </row>
    <row r="74" spans="2:7" x14ac:dyDescent="0.3">
      <c r="B74" s="11">
        <f t="shared" si="0"/>
        <v>47939</v>
      </c>
      <c r="C74" s="12">
        <f t="shared" si="1"/>
        <v>269908.09919899318</v>
      </c>
      <c r="D74" s="13">
        <f t="shared" si="2"/>
        <v>1072.4856461539562</v>
      </c>
      <c r="E74" s="13">
        <f t="shared" si="3"/>
        <v>510.1771061560537</v>
      </c>
      <c r="F74" s="13">
        <f t="shared" si="4"/>
        <v>562.30853999790247</v>
      </c>
      <c r="G74" s="12">
        <f t="shared" si="5"/>
        <v>269397.92209283711</v>
      </c>
    </row>
    <row r="75" spans="2:7" x14ac:dyDescent="0.3">
      <c r="B75" s="11">
        <f t="shared" si="0"/>
        <v>47969</v>
      </c>
      <c r="C75" s="12">
        <f t="shared" si="1"/>
        <v>269397.92209283711</v>
      </c>
      <c r="D75" s="13">
        <f t="shared" si="2"/>
        <v>1072.4856461539562</v>
      </c>
      <c r="E75" s="13">
        <f t="shared" si="3"/>
        <v>511.23997512721223</v>
      </c>
      <c r="F75" s="13">
        <f t="shared" si="4"/>
        <v>561.24567102674393</v>
      </c>
      <c r="G75" s="12">
        <f t="shared" si="5"/>
        <v>268886.68211770989</v>
      </c>
    </row>
    <row r="76" spans="2:7" x14ac:dyDescent="0.3">
      <c r="B76" s="11">
        <f t="shared" si="0"/>
        <v>48000</v>
      </c>
      <c r="C76" s="12">
        <f t="shared" si="1"/>
        <v>268886.68211770989</v>
      </c>
      <c r="D76" s="13">
        <f t="shared" si="2"/>
        <v>1072.4856461539562</v>
      </c>
      <c r="E76" s="13">
        <f t="shared" si="3"/>
        <v>512.30505840872729</v>
      </c>
      <c r="F76" s="13">
        <f t="shared" si="4"/>
        <v>560.18058774522888</v>
      </c>
      <c r="G76" s="12">
        <f t="shared" si="5"/>
        <v>268374.37705930119</v>
      </c>
    </row>
    <row r="77" spans="2:7" x14ac:dyDescent="0.3">
      <c r="B77" s="11">
        <f t="shared" ref="B77:B140" si="6">EDATE(B76,1)</f>
        <v>48030</v>
      </c>
      <c r="C77" s="12">
        <f t="shared" ref="C77:C140" si="7">G76</f>
        <v>268374.37705930119</v>
      </c>
      <c r="D77" s="13">
        <f t="shared" ref="D77:D140" si="8">IF(G76&lt;=0.1,0,-PMT($C$6,$C$7,$C$3))</f>
        <v>1072.4856461539562</v>
      </c>
      <c r="E77" s="13">
        <f t="shared" ref="E77:E140" si="9">D77-F77</f>
        <v>513.3723606137454</v>
      </c>
      <c r="F77" s="13">
        <f t="shared" ref="F77:F140" si="10">C77*$C$6</f>
        <v>559.11328554021077</v>
      </c>
      <c r="G77" s="12">
        <f t="shared" ref="G77:G140" si="11">C77-E77</f>
        <v>267861.00469868747</v>
      </c>
    </row>
    <row r="78" spans="2:7" x14ac:dyDescent="0.3">
      <c r="B78" s="11">
        <f t="shared" si="6"/>
        <v>48061</v>
      </c>
      <c r="C78" s="12">
        <f t="shared" si="7"/>
        <v>267861.00469868747</v>
      </c>
      <c r="D78" s="13">
        <f t="shared" si="8"/>
        <v>1072.4856461539562</v>
      </c>
      <c r="E78" s="13">
        <f t="shared" si="9"/>
        <v>514.44188636502395</v>
      </c>
      <c r="F78" s="13">
        <f t="shared" si="10"/>
        <v>558.04375978893222</v>
      </c>
      <c r="G78" s="12">
        <f t="shared" si="11"/>
        <v>267346.56281232246</v>
      </c>
    </row>
    <row r="79" spans="2:7" x14ac:dyDescent="0.3">
      <c r="B79" s="11">
        <f t="shared" si="6"/>
        <v>48092</v>
      </c>
      <c r="C79" s="12">
        <f t="shared" si="7"/>
        <v>267346.56281232246</v>
      </c>
      <c r="D79" s="13">
        <f t="shared" si="8"/>
        <v>1072.4856461539562</v>
      </c>
      <c r="E79" s="13">
        <f t="shared" si="9"/>
        <v>515.51364029495107</v>
      </c>
      <c r="F79" s="13">
        <f t="shared" si="10"/>
        <v>556.97200585900509</v>
      </c>
      <c r="G79" s="12">
        <f t="shared" si="11"/>
        <v>266831.0491720275</v>
      </c>
    </row>
    <row r="80" spans="2:7" x14ac:dyDescent="0.3">
      <c r="B80" s="11">
        <f t="shared" si="6"/>
        <v>48122</v>
      </c>
      <c r="C80" s="12">
        <f t="shared" si="7"/>
        <v>266831.0491720275</v>
      </c>
      <c r="D80" s="13">
        <f t="shared" si="8"/>
        <v>1072.4856461539562</v>
      </c>
      <c r="E80" s="13">
        <f t="shared" si="9"/>
        <v>516.58762704556557</v>
      </c>
      <c r="F80" s="13">
        <f t="shared" si="10"/>
        <v>555.8980191083906</v>
      </c>
      <c r="G80" s="12">
        <f t="shared" si="11"/>
        <v>266314.46154498192</v>
      </c>
    </row>
    <row r="81" spans="2:7" x14ac:dyDescent="0.3">
      <c r="B81" s="11">
        <f t="shared" si="6"/>
        <v>48153</v>
      </c>
      <c r="C81" s="12">
        <f t="shared" si="7"/>
        <v>266314.46154498192</v>
      </c>
      <c r="D81" s="13">
        <f t="shared" si="8"/>
        <v>1072.4856461539562</v>
      </c>
      <c r="E81" s="13">
        <f t="shared" si="9"/>
        <v>517.66385126857722</v>
      </c>
      <c r="F81" s="13">
        <f t="shared" si="10"/>
        <v>554.82179488537895</v>
      </c>
      <c r="G81" s="12">
        <f t="shared" si="11"/>
        <v>265796.79769371334</v>
      </c>
    </row>
    <row r="82" spans="2:7" x14ac:dyDescent="0.3">
      <c r="B82" s="11">
        <f t="shared" si="6"/>
        <v>48183</v>
      </c>
      <c r="C82" s="12">
        <f t="shared" si="7"/>
        <v>265796.79769371334</v>
      </c>
      <c r="D82" s="13">
        <f t="shared" si="8"/>
        <v>1072.4856461539562</v>
      </c>
      <c r="E82" s="13">
        <f t="shared" si="9"/>
        <v>518.7423176253867</v>
      </c>
      <c r="F82" s="13">
        <f t="shared" si="10"/>
        <v>553.74332852856946</v>
      </c>
      <c r="G82" s="12">
        <f t="shared" si="11"/>
        <v>265278.05537608796</v>
      </c>
    </row>
    <row r="83" spans="2:7" x14ac:dyDescent="0.3">
      <c r="B83" s="11">
        <f t="shared" si="6"/>
        <v>48214</v>
      </c>
      <c r="C83" s="12">
        <f t="shared" si="7"/>
        <v>265278.05537608796</v>
      </c>
      <c r="D83" s="13">
        <f t="shared" si="8"/>
        <v>1072.4856461539562</v>
      </c>
      <c r="E83" s="13">
        <f t="shared" si="9"/>
        <v>519.82303078710629</v>
      </c>
      <c r="F83" s="13">
        <f t="shared" si="10"/>
        <v>552.66261536684988</v>
      </c>
      <c r="G83" s="12">
        <f t="shared" si="11"/>
        <v>264758.23234530084</v>
      </c>
    </row>
    <row r="84" spans="2:7" x14ac:dyDescent="0.3">
      <c r="B84" s="11">
        <f t="shared" si="6"/>
        <v>48245</v>
      </c>
      <c r="C84" s="12">
        <f t="shared" si="7"/>
        <v>264758.23234530084</v>
      </c>
      <c r="D84" s="13">
        <f t="shared" si="8"/>
        <v>1072.4856461539562</v>
      </c>
      <c r="E84" s="13">
        <f t="shared" si="9"/>
        <v>520.90599543457938</v>
      </c>
      <c r="F84" s="13">
        <f t="shared" si="10"/>
        <v>551.57965071937679</v>
      </c>
      <c r="G84" s="12">
        <f t="shared" si="11"/>
        <v>264237.32634986629</v>
      </c>
    </row>
    <row r="85" spans="2:7" x14ac:dyDescent="0.3">
      <c r="B85" s="11">
        <f t="shared" si="6"/>
        <v>48274</v>
      </c>
      <c r="C85" s="12">
        <f t="shared" si="7"/>
        <v>264237.32634986629</v>
      </c>
      <c r="D85" s="13">
        <f t="shared" si="8"/>
        <v>1072.4856461539562</v>
      </c>
      <c r="E85" s="13">
        <f t="shared" si="9"/>
        <v>521.99121625840144</v>
      </c>
      <c r="F85" s="13">
        <f t="shared" si="10"/>
        <v>550.49442989555473</v>
      </c>
      <c r="G85" s="12">
        <f t="shared" si="11"/>
        <v>263715.33513360791</v>
      </c>
    </row>
    <row r="86" spans="2:7" x14ac:dyDescent="0.3">
      <c r="B86" s="11">
        <f t="shared" si="6"/>
        <v>48305</v>
      </c>
      <c r="C86" s="12">
        <f t="shared" si="7"/>
        <v>263715.33513360791</v>
      </c>
      <c r="D86" s="13">
        <f t="shared" si="8"/>
        <v>1072.4856461539562</v>
      </c>
      <c r="E86" s="13">
        <f t="shared" si="9"/>
        <v>523.07869795893976</v>
      </c>
      <c r="F86" s="13">
        <f t="shared" si="10"/>
        <v>549.40694819501641</v>
      </c>
      <c r="G86" s="12">
        <f t="shared" si="11"/>
        <v>263192.25643564895</v>
      </c>
    </row>
    <row r="87" spans="2:7" x14ac:dyDescent="0.3">
      <c r="B87" s="11">
        <f t="shared" si="6"/>
        <v>48335</v>
      </c>
      <c r="C87" s="12">
        <f t="shared" si="7"/>
        <v>263192.25643564895</v>
      </c>
      <c r="D87" s="13">
        <f t="shared" si="8"/>
        <v>1072.4856461539562</v>
      </c>
      <c r="E87" s="13">
        <f t="shared" si="9"/>
        <v>524.16844524635417</v>
      </c>
      <c r="F87" s="13">
        <f t="shared" si="10"/>
        <v>548.317200907602</v>
      </c>
      <c r="G87" s="12">
        <f t="shared" si="11"/>
        <v>262668.08799040259</v>
      </c>
    </row>
    <row r="88" spans="2:7" x14ac:dyDescent="0.3">
      <c r="B88" s="11">
        <f t="shared" si="6"/>
        <v>48366</v>
      </c>
      <c r="C88" s="12">
        <f t="shared" si="7"/>
        <v>262668.08799040259</v>
      </c>
      <c r="D88" s="13">
        <f t="shared" si="8"/>
        <v>1072.4856461539562</v>
      </c>
      <c r="E88" s="13">
        <f t="shared" si="9"/>
        <v>525.26046284061749</v>
      </c>
      <c r="F88" s="13">
        <f t="shared" si="10"/>
        <v>547.22518331333868</v>
      </c>
      <c r="G88" s="12">
        <f t="shared" si="11"/>
        <v>262142.82752756198</v>
      </c>
    </row>
    <row r="89" spans="2:7" x14ac:dyDescent="0.3">
      <c r="B89" s="11">
        <f t="shared" si="6"/>
        <v>48396</v>
      </c>
      <c r="C89" s="12">
        <f t="shared" si="7"/>
        <v>262142.82752756198</v>
      </c>
      <c r="D89" s="13">
        <f t="shared" si="8"/>
        <v>1072.4856461539562</v>
      </c>
      <c r="E89" s="13">
        <f t="shared" si="9"/>
        <v>526.35475547153533</v>
      </c>
      <c r="F89" s="13">
        <f t="shared" si="10"/>
        <v>546.13089068242084</v>
      </c>
      <c r="G89" s="12">
        <f t="shared" si="11"/>
        <v>261616.47277209043</v>
      </c>
    </row>
    <row r="90" spans="2:7" x14ac:dyDescent="0.3">
      <c r="B90" s="11">
        <f t="shared" si="6"/>
        <v>48427</v>
      </c>
      <c r="C90" s="12">
        <f t="shared" si="7"/>
        <v>261616.47277209043</v>
      </c>
      <c r="D90" s="13">
        <f t="shared" si="8"/>
        <v>1072.4856461539562</v>
      </c>
      <c r="E90" s="13">
        <f t="shared" si="9"/>
        <v>527.45132787876776</v>
      </c>
      <c r="F90" s="13">
        <f t="shared" si="10"/>
        <v>545.03431827518841</v>
      </c>
      <c r="G90" s="12">
        <f t="shared" si="11"/>
        <v>261089.02144421166</v>
      </c>
    </row>
    <row r="91" spans="2:7" x14ac:dyDescent="0.3">
      <c r="B91" s="11">
        <f t="shared" si="6"/>
        <v>48458</v>
      </c>
      <c r="C91" s="12">
        <f t="shared" si="7"/>
        <v>261089.02144421166</v>
      </c>
      <c r="D91" s="13">
        <f t="shared" si="8"/>
        <v>1072.4856461539562</v>
      </c>
      <c r="E91" s="13">
        <f t="shared" si="9"/>
        <v>528.55018481184857</v>
      </c>
      <c r="F91" s="13">
        <f t="shared" si="10"/>
        <v>543.9354613421076</v>
      </c>
      <c r="G91" s="12">
        <f t="shared" si="11"/>
        <v>260560.47125939981</v>
      </c>
    </row>
    <row r="92" spans="2:7" x14ac:dyDescent="0.3">
      <c r="B92" s="11">
        <f t="shared" si="6"/>
        <v>48488</v>
      </c>
      <c r="C92" s="12">
        <f t="shared" si="7"/>
        <v>260560.47125939981</v>
      </c>
      <c r="D92" s="13">
        <f t="shared" si="8"/>
        <v>1072.4856461539562</v>
      </c>
      <c r="E92" s="13">
        <f t="shared" si="9"/>
        <v>529.65133103020662</v>
      </c>
      <c r="F92" s="13">
        <f t="shared" si="10"/>
        <v>542.83431512374955</v>
      </c>
      <c r="G92" s="12">
        <f t="shared" si="11"/>
        <v>260030.8199283696</v>
      </c>
    </row>
    <row r="93" spans="2:7" x14ac:dyDescent="0.3">
      <c r="B93" s="11">
        <f t="shared" si="6"/>
        <v>48519</v>
      </c>
      <c r="C93" s="12">
        <f t="shared" si="7"/>
        <v>260030.8199283696</v>
      </c>
      <c r="D93" s="13">
        <f t="shared" si="8"/>
        <v>1072.4856461539562</v>
      </c>
      <c r="E93" s="13">
        <f t="shared" si="9"/>
        <v>530.7547713031862</v>
      </c>
      <c r="F93" s="13">
        <f t="shared" si="10"/>
        <v>541.73087485076996</v>
      </c>
      <c r="G93" s="12">
        <f t="shared" si="11"/>
        <v>259500.06515706642</v>
      </c>
    </row>
    <row r="94" spans="2:7" x14ac:dyDescent="0.3">
      <c r="B94" s="11">
        <f t="shared" si="6"/>
        <v>48549</v>
      </c>
      <c r="C94" s="12">
        <f t="shared" si="7"/>
        <v>259500.06515706642</v>
      </c>
      <c r="D94" s="13">
        <f t="shared" si="8"/>
        <v>1072.4856461539562</v>
      </c>
      <c r="E94" s="13">
        <f t="shared" si="9"/>
        <v>531.86051041006783</v>
      </c>
      <c r="F94" s="13">
        <f t="shared" si="10"/>
        <v>540.62513574388834</v>
      </c>
      <c r="G94" s="12">
        <f t="shared" si="11"/>
        <v>258968.20464665635</v>
      </c>
    </row>
    <row r="95" spans="2:7" x14ac:dyDescent="0.3">
      <c r="B95" s="11">
        <f t="shared" si="6"/>
        <v>48580</v>
      </c>
      <c r="C95" s="12">
        <f t="shared" si="7"/>
        <v>258968.20464665635</v>
      </c>
      <c r="D95" s="13">
        <f t="shared" si="8"/>
        <v>1072.4856461539562</v>
      </c>
      <c r="E95" s="13">
        <f t="shared" si="9"/>
        <v>532.96855314008883</v>
      </c>
      <c r="F95" s="13">
        <f t="shared" si="10"/>
        <v>539.51709301386734</v>
      </c>
      <c r="G95" s="12">
        <f t="shared" si="11"/>
        <v>258435.23609351626</v>
      </c>
    </row>
    <row r="96" spans="2:7" x14ac:dyDescent="0.3">
      <c r="B96" s="11">
        <f t="shared" si="6"/>
        <v>48611</v>
      </c>
      <c r="C96" s="12">
        <f t="shared" si="7"/>
        <v>258435.23609351626</v>
      </c>
      <c r="D96" s="13">
        <f t="shared" si="8"/>
        <v>1072.4856461539562</v>
      </c>
      <c r="E96" s="13">
        <f t="shared" si="9"/>
        <v>534.07890429246402</v>
      </c>
      <c r="F96" s="13">
        <f t="shared" si="10"/>
        <v>538.40674186149215</v>
      </c>
      <c r="G96" s="12">
        <f t="shared" si="11"/>
        <v>257901.1571892238</v>
      </c>
    </row>
    <row r="97" spans="2:7" x14ac:dyDescent="0.3">
      <c r="B97" s="11">
        <f t="shared" si="6"/>
        <v>48639</v>
      </c>
      <c r="C97" s="12">
        <f t="shared" si="7"/>
        <v>257901.1571892238</v>
      </c>
      <c r="D97" s="13">
        <f t="shared" si="8"/>
        <v>1072.4856461539562</v>
      </c>
      <c r="E97" s="13">
        <f t="shared" si="9"/>
        <v>535.19156867640663</v>
      </c>
      <c r="F97" s="13">
        <f t="shared" si="10"/>
        <v>537.29407747754954</v>
      </c>
      <c r="G97" s="12">
        <f t="shared" si="11"/>
        <v>257365.96562054739</v>
      </c>
    </row>
    <row r="98" spans="2:7" x14ac:dyDescent="0.3">
      <c r="B98" s="11">
        <f t="shared" si="6"/>
        <v>48670</v>
      </c>
      <c r="C98" s="12">
        <f t="shared" si="7"/>
        <v>257365.96562054739</v>
      </c>
      <c r="D98" s="13">
        <f t="shared" si="8"/>
        <v>1072.4856461539562</v>
      </c>
      <c r="E98" s="13">
        <f t="shared" si="9"/>
        <v>536.30655111114913</v>
      </c>
      <c r="F98" s="13">
        <f t="shared" si="10"/>
        <v>536.17909504280703</v>
      </c>
      <c r="G98" s="12">
        <f t="shared" si="11"/>
        <v>256829.65906943622</v>
      </c>
    </row>
    <row r="99" spans="2:7" x14ac:dyDescent="0.3">
      <c r="B99" s="11">
        <f t="shared" si="6"/>
        <v>48700</v>
      </c>
      <c r="C99" s="12">
        <f t="shared" si="7"/>
        <v>256829.65906943622</v>
      </c>
      <c r="D99" s="13">
        <f t="shared" si="8"/>
        <v>1072.4856461539562</v>
      </c>
      <c r="E99" s="13">
        <f t="shared" si="9"/>
        <v>537.423856425964</v>
      </c>
      <c r="F99" s="13">
        <f t="shared" si="10"/>
        <v>535.06178972799216</v>
      </c>
      <c r="G99" s="12">
        <f t="shared" si="11"/>
        <v>256292.23521301025</v>
      </c>
    </row>
    <row r="100" spans="2:7" x14ac:dyDescent="0.3">
      <c r="B100" s="11">
        <f t="shared" si="6"/>
        <v>48731</v>
      </c>
      <c r="C100" s="12">
        <f t="shared" si="7"/>
        <v>256292.23521301025</v>
      </c>
      <c r="D100" s="13">
        <f t="shared" si="8"/>
        <v>1072.4856461539562</v>
      </c>
      <c r="E100" s="13">
        <f t="shared" si="9"/>
        <v>538.54348946018479</v>
      </c>
      <c r="F100" s="13">
        <f t="shared" si="10"/>
        <v>533.94215669377138</v>
      </c>
      <c r="G100" s="12">
        <f t="shared" si="11"/>
        <v>255753.69172355006</v>
      </c>
    </row>
    <row r="101" spans="2:7" x14ac:dyDescent="0.3">
      <c r="B101" s="11">
        <f t="shared" si="6"/>
        <v>48761</v>
      </c>
      <c r="C101" s="12">
        <f t="shared" si="7"/>
        <v>255753.69172355006</v>
      </c>
      <c r="D101" s="13">
        <f t="shared" si="8"/>
        <v>1072.4856461539562</v>
      </c>
      <c r="E101" s="13">
        <f t="shared" si="9"/>
        <v>539.66545506322689</v>
      </c>
      <c r="F101" s="13">
        <f t="shared" si="10"/>
        <v>532.82019109072928</v>
      </c>
      <c r="G101" s="12">
        <f t="shared" si="11"/>
        <v>255214.02626848684</v>
      </c>
    </row>
    <row r="102" spans="2:7" x14ac:dyDescent="0.3">
      <c r="B102" s="11">
        <f t="shared" si="6"/>
        <v>48792</v>
      </c>
      <c r="C102" s="12">
        <f t="shared" si="7"/>
        <v>255214.02626848684</v>
      </c>
      <c r="D102" s="13">
        <f t="shared" si="8"/>
        <v>1072.4856461539562</v>
      </c>
      <c r="E102" s="13">
        <f t="shared" si="9"/>
        <v>540.7897580946086</v>
      </c>
      <c r="F102" s="13">
        <f t="shared" si="10"/>
        <v>531.69588805934757</v>
      </c>
      <c r="G102" s="12">
        <f t="shared" si="11"/>
        <v>254673.23651039222</v>
      </c>
    </row>
    <row r="103" spans="2:7" x14ac:dyDescent="0.3">
      <c r="B103" s="11">
        <f t="shared" si="6"/>
        <v>48823</v>
      </c>
      <c r="C103" s="12">
        <f t="shared" si="7"/>
        <v>254673.23651039222</v>
      </c>
      <c r="D103" s="13">
        <f t="shared" si="8"/>
        <v>1072.4856461539562</v>
      </c>
      <c r="E103" s="13">
        <f t="shared" si="9"/>
        <v>541.91640342397238</v>
      </c>
      <c r="F103" s="13">
        <f t="shared" si="10"/>
        <v>530.56924272998378</v>
      </c>
      <c r="G103" s="12">
        <f t="shared" si="11"/>
        <v>254131.32010696825</v>
      </c>
    </row>
    <row r="104" spans="2:7" x14ac:dyDescent="0.3">
      <c r="B104" s="11">
        <f t="shared" si="6"/>
        <v>48853</v>
      </c>
      <c r="C104" s="12">
        <f t="shared" si="7"/>
        <v>254131.32010696825</v>
      </c>
      <c r="D104" s="13">
        <f t="shared" si="8"/>
        <v>1072.4856461539562</v>
      </c>
      <c r="E104" s="13">
        <f t="shared" si="9"/>
        <v>543.04539593110565</v>
      </c>
      <c r="F104" s="13">
        <f t="shared" si="10"/>
        <v>529.44025022285052</v>
      </c>
      <c r="G104" s="12">
        <f t="shared" si="11"/>
        <v>253588.27471103714</v>
      </c>
    </row>
    <row r="105" spans="2:7" x14ac:dyDescent="0.3">
      <c r="B105" s="11">
        <f t="shared" si="6"/>
        <v>48884</v>
      </c>
      <c r="C105" s="12">
        <f t="shared" si="7"/>
        <v>253588.27471103714</v>
      </c>
      <c r="D105" s="13">
        <f t="shared" si="8"/>
        <v>1072.4856461539562</v>
      </c>
      <c r="E105" s="13">
        <f t="shared" si="9"/>
        <v>544.17674050596213</v>
      </c>
      <c r="F105" s="13">
        <f t="shared" si="10"/>
        <v>528.30890564799404</v>
      </c>
      <c r="G105" s="12">
        <f t="shared" si="11"/>
        <v>253044.09797053118</v>
      </c>
    </row>
    <row r="106" spans="2:7" x14ac:dyDescent="0.3">
      <c r="B106" s="11">
        <f t="shared" si="6"/>
        <v>48914</v>
      </c>
      <c r="C106" s="12">
        <f t="shared" si="7"/>
        <v>253044.09797053118</v>
      </c>
      <c r="D106" s="13">
        <f t="shared" si="8"/>
        <v>1072.4856461539562</v>
      </c>
      <c r="E106" s="13">
        <f t="shared" si="9"/>
        <v>545.31044204868294</v>
      </c>
      <c r="F106" s="13">
        <f t="shared" si="10"/>
        <v>527.17520410527322</v>
      </c>
      <c r="G106" s="12">
        <f t="shared" si="11"/>
        <v>252498.7875284825</v>
      </c>
    </row>
    <row r="107" spans="2:7" x14ac:dyDescent="0.3">
      <c r="B107" s="11">
        <f t="shared" si="6"/>
        <v>48945</v>
      </c>
      <c r="C107" s="12">
        <f t="shared" si="7"/>
        <v>252498.7875284825</v>
      </c>
      <c r="D107" s="13">
        <f t="shared" si="8"/>
        <v>1072.4856461539562</v>
      </c>
      <c r="E107" s="13">
        <f t="shared" si="9"/>
        <v>546.44650546961759</v>
      </c>
      <c r="F107" s="13">
        <f t="shared" si="10"/>
        <v>526.03914068433858</v>
      </c>
      <c r="G107" s="12">
        <f t="shared" si="11"/>
        <v>251952.34102301288</v>
      </c>
    </row>
    <row r="108" spans="2:7" x14ac:dyDescent="0.3">
      <c r="B108" s="11">
        <f t="shared" si="6"/>
        <v>48976</v>
      </c>
      <c r="C108" s="12">
        <f t="shared" si="7"/>
        <v>251952.34102301288</v>
      </c>
      <c r="D108" s="13">
        <f t="shared" si="8"/>
        <v>1072.4856461539562</v>
      </c>
      <c r="E108" s="13">
        <f t="shared" si="9"/>
        <v>547.58493568934603</v>
      </c>
      <c r="F108" s="13">
        <f t="shared" si="10"/>
        <v>524.90071046461014</v>
      </c>
      <c r="G108" s="12">
        <f t="shared" si="11"/>
        <v>251404.75608732353</v>
      </c>
    </row>
    <row r="109" spans="2:7" x14ac:dyDescent="0.3">
      <c r="B109" s="11">
        <f t="shared" si="6"/>
        <v>49004</v>
      </c>
      <c r="C109" s="12">
        <f t="shared" si="7"/>
        <v>251404.75608732353</v>
      </c>
      <c r="D109" s="13">
        <f t="shared" si="8"/>
        <v>1072.4856461539562</v>
      </c>
      <c r="E109" s="13">
        <f t="shared" si="9"/>
        <v>548.72573763869877</v>
      </c>
      <c r="F109" s="13">
        <f t="shared" si="10"/>
        <v>523.75990851525739</v>
      </c>
      <c r="G109" s="12">
        <f t="shared" si="11"/>
        <v>250856.03034968482</v>
      </c>
    </row>
    <row r="110" spans="2:7" x14ac:dyDescent="0.3">
      <c r="B110" s="11">
        <f t="shared" si="6"/>
        <v>49035</v>
      </c>
      <c r="C110" s="12">
        <f t="shared" si="7"/>
        <v>250856.03034968482</v>
      </c>
      <c r="D110" s="13">
        <f t="shared" si="8"/>
        <v>1072.4856461539562</v>
      </c>
      <c r="E110" s="13">
        <f t="shared" si="9"/>
        <v>549.86891625877945</v>
      </c>
      <c r="F110" s="13">
        <f t="shared" si="10"/>
        <v>522.61672989517672</v>
      </c>
      <c r="G110" s="12">
        <f t="shared" si="11"/>
        <v>250306.16143342605</v>
      </c>
    </row>
    <row r="111" spans="2:7" x14ac:dyDescent="0.3">
      <c r="B111" s="11">
        <f t="shared" si="6"/>
        <v>49065</v>
      </c>
      <c r="C111" s="12">
        <f t="shared" si="7"/>
        <v>250306.16143342605</v>
      </c>
      <c r="D111" s="13">
        <f t="shared" si="8"/>
        <v>1072.4856461539562</v>
      </c>
      <c r="E111" s="13">
        <f t="shared" si="9"/>
        <v>551.01447650098521</v>
      </c>
      <c r="F111" s="13">
        <f t="shared" si="10"/>
        <v>521.47116965297096</v>
      </c>
      <c r="G111" s="12">
        <f t="shared" si="11"/>
        <v>249755.14695692508</v>
      </c>
    </row>
    <row r="112" spans="2:7" x14ac:dyDescent="0.3">
      <c r="B112" s="11">
        <f t="shared" si="6"/>
        <v>49096</v>
      </c>
      <c r="C112" s="12">
        <f t="shared" si="7"/>
        <v>249755.14695692508</v>
      </c>
      <c r="D112" s="13">
        <f t="shared" si="8"/>
        <v>1072.4856461539562</v>
      </c>
      <c r="E112" s="13">
        <f t="shared" si="9"/>
        <v>552.16242332702893</v>
      </c>
      <c r="F112" s="13">
        <f t="shared" si="10"/>
        <v>520.32322282692724</v>
      </c>
      <c r="G112" s="12">
        <f t="shared" si="11"/>
        <v>249202.98453359804</v>
      </c>
    </row>
    <row r="113" spans="2:7" x14ac:dyDescent="0.3">
      <c r="B113" s="11">
        <f t="shared" si="6"/>
        <v>49126</v>
      </c>
      <c r="C113" s="12">
        <f t="shared" si="7"/>
        <v>249202.98453359804</v>
      </c>
      <c r="D113" s="13">
        <f t="shared" si="8"/>
        <v>1072.4856461539562</v>
      </c>
      <c r="E113" s="13">
        <f t="shared" si="9"/>
        <v>553.31276170896024</v>
      </c>
      <c r="F113" s="13">
        <f t="shared" si="10"/>
        <v>519.17288444499593</v>
      </c>
      <c r="G113" s="12">
        <f t="shared" si="11"/>
        <v>248649.67177188909</v>
      </c>
    </row>
    <row r="114" spans="2:7" x14ac:dyDescent="0.3">
      <c r="B114" s="11">
        <f t="shared" si="6"/>
        <v>49157</v>
      </c>
      <c r="C114" s="12">
        <f t="shared" si="7"/>
        <v>248649.67177188909</v>
      </c>
      <c r="D114" s="13">
        <f t="shared" si="8"/>
        <v>1072.4856461539562</v>
      </c>
      <c r="E114" s="13">
        <f t="shared" si="9"/>
        <v>554.46549662918721</v>
      </c>
      <c r="F114" s="13">
        <f t="shared" si="10"/>
        <v>518.02014952476895</v>
      </c>
      <c r="G114" s="12">
        <f t="shared" si="11"/>
        <v>248095.2062752599</v>
      </c>
    </row>
    <row r="115" spans="2:7" x14ac:dyDescent="0.3">
      <c r="B115" s="11">
        <f t="shared" si="6"/>
        <v>49188</v>
      </c>
      <c r="C115" s="12">
        <f t="shared" si="7"/>
        <v>248095.2062752599</v>
      </c>
      <c r="D115" s="13">
        <f t="shared" si="8"/>
        <v>1072.4856461539562</v>
      </c>
      <c r="E115" s="13">
        <f t="shared" si="9"/>
        <v>555.62063308049801</v>
      </c>
      <c r="F115" s="13">
        <f t="shared" si="10"/>
        <v>516.86501307345816</v>
      </c>
      <c r="G115" s="12">
        <f t="shared" si="11"/>
        <v>247539.58564217942</v>
      </c>
    </row>
    <row r="116" spans="2:7" x14ac:dyDescent="0.3">
      <c r="B116" s="11">
        <f t="shared" si="6"/>
        <v>49218</v>
      </c>
      <c r="C116" s="12">
        <f t="shared" si="7"/>
        <v>247539.58564217942</v>
      </c>
      <c r="D116" s="13">
        <f t="shared" si="8"/>
        <v>1072.4856461539562</v>
      </c>
      <c r="E116" s="13">
        <f t="shared" si="9"/>
        <v>556.77817606608244</v>
      </c>
      <c r="F116" s="13">
        <f t="shared" si="10"/>
        <v>515.70747008787373</v>
      </c>
      <c r="G116" s="12">
        <f t="shared" si="11"/>
        <v>246982.80746611333</v>
      </c>
    </row>
    <row r="117" spans="2:7" x14ac:dyDescent="0.3">
      <c r="B117" s="11">
        <f t="shared" si="6"/>
        <v>49249</v>
      </c>
      <c r="C117" s="12">
        <f t="shared" si="7"/>
        <v>246982.80746611333</v>
      </c>
      <c r="D117" s="13">
        <f t="shared" si="8"/>
        <v>1072.4856461539562</v>
      </c>
      <c r="E117" s="13">
        <f t="shared" si="9"/>
        <v>557.93813059955346</v>
      </c>
      <c r="F117" s="13">
        <f t="shared" si="10"/>
        <v>514.54751555440271</v>
      </c>
      <c r="G117" s="12">
        <f t="shared" si="11"/>
        <v>246424.86933551377</v>
      </c>
    </row>
    <row r="118" spans="2:7" x14ac:dyDescent="0.3">
      <c r="B118" s="11">
        <f t="shared" si="6"/>
        <v>49279</v>
      </c>
      <c r="C118" s="12">
        <f t="shared" si="7"/>
        <v>246424.86933551377</v>
      </c>
      <c r="D118" s="13">
        <f t="shared" si="8"/>
        <v>1072.4856461539562</v>
      </c>
      <c r="E118" s="13">
        <f t="shared" si="9"/>
        <v>559.10050170496913</v>
      </c>
      <c r="F118" s="13">
        <f t="shared" si="10"/>
        <v>513.38514444898703</v>
      </c>
      <c r="G118" s="12">
        <f t="shared" si="11"/>
        <v>245865.7688338088</v>
      </c>
    </row>
    <row r="119" spans="2:7" x14ac:dyDescent="0.3">
      <c r="B119" s="11">
        <f t="shared" si="6"/>
        <v>49310</v>
      </c>
      <c r="C119" s="12">
        <f t="shared" si="7"/>
        <v>245865.7688338088</v>
      </c>
      <c r="D119" s="13">
        <f t="shared" si="8"/>
        <v>1072.4856461539562</v>
      </c>
      <c r="E119" s="13">
        <f t="shared" si="9"/>
        <v>560.26529441685454</v>
      </c>
      <c r="F119" s="13">
        <f t="shared" si="10"/>
        <v>512.22035173710162</v>
      </c>
      <c r="G119" s="12">
        <f t="shared" si="11"/>
        <v>245305.50353939194</v>
      </c>
    </row>
    <row r="120" spans="2:7" x14ac:dyDescent="0.3">
      <c r="B120" s="11">
        <f t="shared" si="6"/>
        <v>49341</v>
      </c>
      <c r="C120" s="12">
        <f t="shared" si="7"/>
        <v>245305.50353939194</v>
      </c>
      <c r="D120" s="13">
        <f t="shared" si="8"/>
        <v>1072.4856461539562</v>
      </c>
      <c r="E120" s="13">
        <f t="shared" si="9"/>
        <v>561.43251378022296</v>
      </c>
      <c r="F120" s="13">
        <f t="shared" si="10"/>
        <v>511.05313237373321</v>
      </c>
      <c r="G120" s="12">
        <f t="shared" si="11"/>
        <v>244744.07102561172</v>
      </c>
    </row>
    <row r="121" spans="2:7" x14ac:dyDescent="0.3">
      <c r="B121" s="11">
        <f t="shared" si="6"/>
        <v>49369</v>
      </c>
      <c r="C121" s="12">
        <f t="shared" si="7"/>
        <v>244744.07102561172</v>
      </c>
      <c r="D121" s="13">
        <f t="shared" si="8"/>
        <v>1072.4856461539562</v>
      </c>
      <c r="E121" s="13">
        <f t="shared" si="9"/>
        <v>562.60216485059846</v>
      </c>
      <c r="F121" s="13">
        <f t="shared" si="10"/>
        <v>509.88348130335771</v>
      </c>
      <c r="G121" s="12">
        <f t="shared" si="11"/>
        <v>244181.46886076112</v>
      </c>
    </row>
    <row r="122" spans="2:7" x14ac:dyDescent="0.3">
      <c r="B122" s="11">
        <f t="shared" si="6"/>
        <v>49400</v>
      </c>
      <c r="C122" s="12">
        <f t="shared" si="7"/>
        <v>244181.46886076112</v>
      </c>
      <c r="D122" s="13">
        <f t="shared" si="8"/>
        <v>1072.4856461539562</v>
      </c>
      <c r="E122" s="13">
        <f t="shared" si="9"/>
        <v>563.77425269403716</v>
      </c>
      <c r="F122" s="13">
        <f t="shared" si="10"/>
        <v>508.71139345991901</v>
      </c>
      <c r="G122" s="12">
        <f t="shared" si="11"/>
        <v>243617.69460806708</v>
      </c>
    </row>
    <row r="123" spans="2:7" x14ac:dyDescent="0.3">
      <c r="B123" s="11">
        <f t="shared" si="6"/>
        <v>49430</v>
      </c>
      <c r="C123" s="12">
        <f t="shared" si="7"/>
        <v>243617.69460806708</v>
      </c>
      <c r="D123" s="13">
        <f t="shared" si="8"/>
        <v>1072.4856461539562</v>
      </c>
      <c r="E123" s="13">
        <f t="shared" si="9"/>
        <v>564.94878238714978</v>
      </c>
      <c r="F123" s="13">
        <f t="shared" si="10"/>
        <v>507.53686376680639</v>
      </c>
      <c r="G123" s="12">
        <f t="shared" si="11"/>
        <v>243052.74582567991</v>
      </c>
    </row>
    <row r="124" spans="2:7" x14ac:dyDescent="0.3">
      <c r="B124" s="11">
        <f t="shared" si="6"/>
        <v>49461</v>
      </c>
      <c r="C124" s="12">
        <f t="shared" si="7"/>
        <v>243052.74582567991</v>
      </c>
      <c r="D124" s="13">
        <f t="shared" si="8"/>
        <v>1072.4856461539562</v>
      </c>
      <c r="E124" s="13">
        <f t="shared" si="9"/>
        <v>566.12575901712307</v>
      </c>
      <c r="F124" s="13">
        <f t="shared" si="10"/>
        <v>506.35988713683315</v>
      </c>
      <c r="G124" s="12">
        <f t="shared" si="11"/>
        <v>242486.62006666278</v>
      </c>
    </row>
    <row r="125" spans="2:7" x14ac:dyDescent="0.3">
      <c r="B125" s="11">
        <f t="shared" si="6"/>
        <v>49491</v>
      </c>
      <c r="C125" s="12">
        <f t="shared" si="7"/>
        <v>242486.62006666278</v>
      </c>
      <c r="D125" s="13">
        <f t="shared" si="8"/>
        <v>1072.4856461539562</v>
      </c>
      <c r="E125" s="13">
        <f t="shared" si="9"/>
        <v>567.30518768174204</v>
      </c>
      <c r="F125" s="13">
        <f t="shared" si="10"/>
        <v>505.18045847221413</v>
      </c>
      <c r="G125" s="12">
        <f t="shared" si="11"/>
        <v>241919.31487898104</v>
      </c>
    </row>
    <row r="126" spans="2:7" x14ac:dyDescent="0.3">
      <c r="B126" s="11">
        <f t="shared" si="6"/>
        <v>49522</v>
      </c>
      <c r="C126" s="12">
        <f t="shared" si="7"/>
        <v>241919.31487898104</v>
      </c>
      <c r="D126" s="13">
        <f t="shared" si="8"/>
        <v>1072.4856461539562</v>
      </c>
      <c r="E126" s="13">
        <f t="shared" si="9"/>
        <v>568.4870734894123</v>
      </c>
      <c r="F126" s="13">
        <f t="shared" si="10"/>
        <v>503.99857266454381</v>
      </c>
      <c r="G126" s="12">
        <f t="shared" si="11"/>
        <v>241350.82780549163</v>
      </c>
    </row>
    <row r="127" spans="2:7" x14ac:dyDescent="0.3">
      <c r="B127" s="11">
        <f t="shared" si="6"/>
        <v>49553</v>
      </c>
      <c r="C127" s="12">
        <f t="shared" si="7"/>
        <v>241350.82780549163</v>
      </c>
      <c r="D127" s="13">
        <f t="shared" si="8"/>
        <v>1072.4856461539562</v>
      </c>
      <c r="E127" s="13">
        <f t="shared" si="9"/>
        <v>569.67142155918191</v>
      </c>
      <c r="F127" s="13">
        <f t="shared" si="10"/>
        <v>502.8142245947742</v>
      </c>
      <c r="G127" s="12">
        <f t="shared" si="11"/>
        <v>240781.15638393245</v>
      </c>
    </row>
    <row r="128" spans="2:7" x14ac:dyDescent="0.3">
      <c r="B128" s="11">
        <f t="shared" si="6"/>
        <v>49583</v>
      </c>
      <c r="C128" s="12">
        <f t="shared" si="7"/>
        <v>240781.15638393245</v>
      </c>
      <c r="D128" s="13">
        <f t="shared" si="8"/>
        <v>1072.4856461539562</v>
      </c>
      <c r="E128" s="13">
        <f t="shared" si="9"/>
        <v>570.85823702076357</v>
      </c>
      <c r="F128" s="13">
        <f t="shared" si="10"/>
        <v>501.6274091331926</v>
      </c>
      <c r="G128" s="12">
        <f t="shared" si="11"/>
        <v>240210.29814691169</v>
      </c>
    </row>
    <row r="129" spans="2:7" x14ac:dyDescent="0.3">
      <c r="B129" s="11">
        <f t="shared" si="6"/>
        <v>49614</v>
      </c>
      <c r="C129" s="12">
        <f t="shared" si="7"/>
        <v>240210.29814691169</v>
      </c>
      <c r="D129" s="13">
        <f t="shared" si="8"/>
        <v>1072.4856461539562</v>
      </c>
      <c r="E129" s="13">
        <f t="shared" si="9"/>
        <v>572.04752501455687</v>
      </c>
      <c r="F129" s="13">
        <f t="shared" si="10"/>
        <v>500.43812113939936</v>
      </c>
      <c r="G129" s="12">
        <f t="shared" si="11"/>
        <v>239638.25062189714</v>
      </c>
    </row>
    <row r="130" spans="2:7" x14ac:dyDescent="0.3">
      <c r="B130" s="11">
        <f t="shared" si="6"/>
        <v>49644</v>
      </c>
      <c r="C130" s="12">
        <f t="shared" si="7"/>
        <v>239638.25062189714</v>
      </c>
      <c r="D130" s="13">
        <f t="shared" si="8"/>
        <v>1072.4856461539562</v>
      </c>
      <c r="E130" s="13">
        <f t="shared" si="9"/>
        <v>573.23929069167048</v>
      </c>
      <c r="F130" s="13">
        <f t="shared" si="10"/>
        <v>499.24635546228569</v>
      </c>
      <c r="G130" s="12">
        <f t="shared" si="11"/>
        <v>239065.01133120546</v>
      </c>
    </row>
    <row r="131" spans="2:7" x14ac:dyDescent="0.3">
      <c r="B131" s="11">
        <f t="shared" si="6"/>
        <v>49675</v>
      </c>
      <c r="C131" s="12">
        <f t="shared" si="7"/>
        <v>239065.01133120546</v>
      </c>
      <c r="D131" s="13">
        <f t="shared" si="8"/>
        <v>1072.4856461539562</v>
      </c>
      <c r="E131" s="13">
        <f t="shared" si="9"/>
        <v>574.43353921394487</v>
      </c>
      <c r="F131" s="13">
        <f t="shared" si="10"/>
        <v>498.05210694001136</v>
      </c>
      <c r="G131" s="12">
        <f t="shared" si="11"/>
        <v>238490.57779199153</v>
      </c>
    </row>
    <row r="132" spans="2:7" x14ac:dyDescent="0.3">
      <c r="B132" s="11">
        <f t="shared" si="6"/>
        <v>49706</v>
      </c>
      <c r="C132" s="12">
        <f t="shared" si="7"/>
        <v>238490.57779199153</v>
      </c>
      <c r="D132" s="13">
        <f t="shared" si="8"/>
        <v>1072.4856461539562</v>
      </c>
      <c r="E132" s="13">
        <f t="shared" si="9"/>
        <v>575.63027575397382</v>
      </c>
      <c r="F132" s="13">
        <f t="shared" si="10"/>
        <v>496.85537039998235</v>
      </c>
      <c r="G132" s="12">
        <f t="shared" si="11"/>
        <v>237914.94751623756</v>
      </c>
    </row>
    <row r="133" spans="2:7" x14ac:dyDescent="0.3">
      <c r="B133" s="11">
        <f t="shared" si="6"/>
        <v>49735</v>
      </c>
      <c r="C133" s="12">
        <f t="shared" si="7"/>
        <v>237914.94751623756</v>
      </c>
      <c r="D133" s="13">
        <f t="shared" si="8"/>
        <v>1072.4856461539562</v>
      </c>
      <c r="E133" s="13">
        <f t="shared" si="9"/>
        <v>576.82950549512793</v>
      </c>
      <c r="F133" s="13">
        <f t="shared" si="10"/>
        <v>495.65614065882824</v>
      </c>
      <c r="G133" s="12">
        <f t="shared" si="11"/>
        <v>237338.11801074244</v>
      </c>
    </row>
    <row r="134" spans="2:7" x14ac:dyDescent="0.3">
      <c r="B134" s="11">
        <f t="shared" si="6"/>
        <v>49766</v>
      </c>
      <c r="C134" s="12">
        <f t="shared" si="7"/>
        <v>237338.11801074244</v>
      </c>
      <c r="D134" s="13">
        <f t="shared" si="8"/>
        <v>1072.4856461539562</v>
      </c>
      <c r="E134" s="13">
        <f t="shared" si="9"/>
        <v>578.03123363157601</v>
      </c>
      <c r="F134" s="13">
        <f t="shared" si="10"/>
        <v>494.4544125223801</v>
      </c>
      <c r="G134" s="12">
        <f t="shared" si="11"/>
        <v>236760.08677711088</v>
      </c>
    </row>
    <row r="135" spans="2:7" x14ac:dyDescent="0.3">
      <c r="B135" s="11">
        <f t="shared" si="6"/>
        <v>49796</v>
      </c>
      <c r="C135" s="12">
        <f t="shared" si="7"/>
        <v>236760.08677711088</v>
      </c>
      <c r="D135" s="13">
        <f t="shared" si="8"/>
        <v>1072.4856461539562</v>
      </c>
      <c r="E135" s="13">
        <f t="shared" si="9"/>
        <v>579.2354653683085</v>
      </c>
      <c r="F135" s="13">
        <f t="shared" si="10"/>
        <v>493.25018078564767</v>
      </c>
      <c r="G135" s="12">
        <f t="shared" si="11"/>
        <v>236180.85131174256</v>
      </c>
    </row>
    <row r="136" spans="2:7" x14ac:dyDescent="0.3">
      <c r="B136" s="11">
        <f t="shared" si="6"/>
        <v>49827</v>
      </c>
      <c r="C136" s="12">
        <f t="shared" si="7"/>
        <v>236180.85131174256</v>
      </c>
      <c r="D136" s="13">
        <f t="shared" si="8"/>
        <v>1072.4856461539562</v>
      </c>
      <c r="E136" s="13">
        <f t="shared" si="9"/>
        <v>580.44220592115926</v>
      </c>
      <c r="F136" s="13">
        <f t="shared" si="10"/>
        <v>492.04344023279697</v>
      </c>
      <c r="G136" s="12">
        <f t="shared" si="11"/>
        <v>235600.4091058214</v>
      </c>
    </row>
    <row r="137" spans="2:7" x14ac:dyDescent="0.3">
      <c r="B137" s="11">
        <f t="shared" si="6"/>
        <v>49857</v>
      </c>
      <c r="C137" s="12">
        <f t="shared" si="7"/>
        <v>235600.4091058214</v>
      </c>
      <c r="D137" s="13">
        <f t="shared" si="8"/>
        <v>1072.4856461539562</v>
      </c>
      <c r="E137" s="13">
        <f t="shared" si="9"/>
        <v>581.65146051682825</v>
      </c>
      <c r="F137" s="13">
        <f t="shared" si="10"/>
        <v>490.83418563712792</v>
      </c>
      <c r="G137" s="12">
        <f t="shared" si="11"/>
        <v>235018.75764530458</v>
      </c>
    </row>
    <row r="138" spans="2:7" x14ac:dyDescent="0.3">
      <c r="B138" s="11">
        <f t="shared" si="6"/>
        <v>49888</v>
      </c>
      <c r="C138" s="12">
        <f t="shared" si="7"/>
        <v>235018.75764530458</v>
      </c>
      <c r="D138" s="13">
        <f t="shared" si="8"/>
        <v>1072.4856461539562</v>
      </c>
      <c r="E138" s="13">
        <f t="shared" si="9"/>
        <v>582.86323439290504</v>
      </c>
      <c r="F138" s="13">
        <f t="shared" si="10"/>
        <v>489.62241176105118</v>
      </c>
      <c r="G138" s="12">
        <f t="shared" si="11"/>
        <v>234435.89441091169</v>
      </c>
    </row>
    <row r="139" spans="2:7" x14ac:dyDescent="0.3">
      <c r="B139" s="11">
        <f t="shared" si="6"/>
        <v>49919</v>
      </c>
      <c r="C139" s="12">
        <f t="shared" si="7"/>
        <v>234435.89441091169</v>
      </c>
      <c r="D139" s="13">
        <f t="shared" si="8"/>
        <v>1072.4856461539562</v>
      </c>
      <c r="E139" s="13">
        <f t="shared" si="9"/>
        <v>584.07753279789017</v>
      </c>
      <c r="F139" s="13">
        <f t="shared" si="10"/>
        <v>488.408113356066</v>
      </c>
      <c r="G139" s="12">
        <f t="shared" si="11"/>
        <v>233851.81687811381</v>
      </c>
    </row>
    <row r="140" spans="2:7" x14ac:dyDescent="0.3">
      <c r="B140" s="11">
        <f t="shared" si="6"/>
        <v>49949</v>
      </c>
      <c r="C140" s="12">
        <f t="shared" si="7"/>
        <v>233851.81687811381</v>
      </c>
      <c r="D140" s="13">
        <f t="shared" si="8"/>
        <v>1072.4856461539562</v>
      </c>
      <c r="E140" s="13">
        <f t="shared" si="9"/>
        <v>585.29436099121904</v>
      </c>
      <c r="F140" s="13">
        <f t="shared" si="10"/>
        <v>487.19128516273707</v>
      </c>
      <c r="G140" s="12">
        <f t="shared" si="11"/>
        <v>233266.52251712259</v>
      </c>
    </row>
    <row r="141" spans="2:7" x14ac:dyDescent="0.3">
      <c r="B141" s="11">
        <f t="shared" ref="B141:B204" si="12">EDATE(B140,1)</f>
        <v>49980</v>
      </c>
      <c r="C141" s="12">
        <f t="shared" ref="C141:C204" si="13">G140</f>
        <v>233266.52251712259</v>
      </c>
      <c r="D141" s="13">
        <f t="shared" ref="D141:D204" si="14">IF(G140&lt;=0.1,0,-PMT($C$6,$C$7,$C$3))</f>
        <v>1072.4856461539562</v>
      </c>
      <c r="E141" s="13">
        <f t="shared" ref="E141:E204" si="15">D141-F141</f>
        <v>586.51372424328406</v>
      </c>
      <c r="F141" s="13">
        <f t="shared" ref="F141:F204" si="16">C141*$C$6</f>
        <v>485.97192191067205</v>
      </c>
      <c r="G141" s="12">
        <f t="shared" ref="G141:G204" si="17">C141-E141</f>
        <v>232680.00879287929</v>
      </c>
    </row>
    <row r="142" spans="2:7" x14ac:dyDescent="0.3">
      <c r="B142" s="11">
        <f t="shared" si="12"/>
        <v>50010</v>
      </c>
      <c r="C142" s="12">
        <f t="shared" si="13"/>
        <v>232680.00879287929</v>
      </c>
      <c r="D142" s="13">
        <f t="shared" si="14"/>
        <v>1072.4856461539562</v>
      </c>
      <c r="E142" s="13">
        <f t="shared" si="15"/>
        <v>587.73562783545765</v>
      </c>
      <c r="F142" s="13">
        <f t="shared" si="16"/>
        <v>484.75001831849852</v>
      </c>
      <c r="G142" s="12">
        <f t="shared" si="17"/>
        <v>232092.27316504382</v>
      </c>
    </row>
    <row r="143" spans="2:7" x14ac:dyDescent="0.3">
      <c r="B143" s="11">
        <f t="shared" si="12"/>
        <v>50041</v>
      </c>
      <c r="C143" s="12">
        <f t="shared" si="13"/>
        <v>232092.27316504382</v>
      </c>
      <c r="D143" s="13">
        <f t="shared" si="14"/>
        <v>1072.4856461539562</v>
      </c>
      <c r="E143" s="13">
        <f t="shared" si="15"/>
        <v>588.96007706011483</v>
      </c>
      <c r="F143" s="13">
        <f t="shared" si="16"/>
        <v>483.52556909384128</v>
      </c>
      <c r="G143" s="12">
        <f t="shared" si="17"/>
        <v>231503.3130879837</v>
      </c>
    </row>
    <row r="144" spans="2:7" x14ac:dyDescent="0.3">
      <c r="B144" s="11">
        <f t="shared" si="12"/>
        <v>50072</v>
      </c>
      <c r="C144" s="12">
        <f t="shared" si="13"/>
        <v>231503.3130879837</v>
      </c>
      <c r="D144" s="13">
        <f t="shared" si="14"/>
        <v>1072.4856461539562</v>
      </c>
      <c r="E144" s="13">
        <f t="shared" si="15"/>
        <v>590.18707722065687</v>
      </c>
      <c r="F144" s="13">
        <f t="shared" si="16"/>
        <v>482.29856893329935</v>
      </c>
      <c r="G144" s="12">
        <f t="shared" si="17"/>
        <v>230913.12601076305</v>
      </c>
    </row>
    <row r="145" spans="2:7" x14ac:dyDescent="0.3">
      <c r="B145" s="11">
        <f t="shared" si="12"/>
        <v>50100</v>
      </c>
      <c r="C145" s="12">
        <f t="shared" si="13"/>
        <v>230913.12601076305</v>
      </c>
      <c r="D145" s="13">
        <f t="shared" si="14"/>
        <v>1072.4856461539562</v>
      </c>
      <c r="E145" s="13">
        <f t="shared" si="15"/>
        <v>591.41663363153316</v>
      </c>
      <c r="F145" s="13">
        <f t="shared" si="16"/>
        <v>481.06901252242301</v>
      </c>
      <c r="G145" s="12">
        <f t="shared" si="17"/>
        <v>230321.70937713151</v>
      </c>
    </row>
    <row r="146" spans="2:7" x14ac:dyDescent="0.3">
      <c r="B146" s="11">
        <f t="shared" si="12"/>
        <v>50131</v>
      </c>
      <c r="C146" s="12">
        <f t="shared" si="13"/>
        <v>230321.70937713151</v>
      </c>
      <c r="D146" s="13">
        <f t="shared" si="14"/>
        <v>1072.4856461539562</v>
      </c>
      <c r="E146" s="13">
        <f t="shared" si="15"/>
        <v>592.64875161826558</v>
      </c>
      <c r="F146" s="13">
        <f t="shared" si="16"/>
        <v>479.83689453569065</v>
      </c>
      <c r="G146" s="12">
        <f t="shared" si="17"/>
        <v>229729.06062551326</v>
      </c>
    </row>
    <row r="147" spans="2:7" x14ac:dyDescent="0.3">
      <c r="B147" s="11">
        <f t="shared" si="12"/>
        <v>50161</v>
      </c>
      <c r="C147" s="12">
        <f t="shared" si="13"/>
        <v>229729.06062551326</v>
      </c>
      <c r="D147" s="13">
        <f t="shared" si="14"/>
        <v>1072.4856461539562</v>
      </c>
      <c r="E147" s="13">
        <f t="shared" si="15"/>
        <v>593.88343651747027</v>
      </c>
      <c r="F147" s="13">
        <f t="shared" si="16"/>
        <v>478.60220963648595</v>
      </c>
      <c r="G147" s="12">
        <f t="shared" si="17"/>
        <v>229135.17718899579</v>
      </c>
    </row>
    <row r="148" spans="2:7" x14ac:dyDescent="0.3">
      <c r="B148" s="11">
        <f t="shared" si="12"/>
        <v>50192</v>
      </c>
      <c r="C148" s="12">
        <f t="shared" si="13"/>
        <v>229135.17718899579</v>
      </c>
      <c r="D148" s="13">
        <f t="shared" si="14"/>
        <v>1072.4856461539562</v>
      </c>
      <c r="E148" s="13">
        <f t="shared" si="15"/>
        <v>595.12069367688161</v>
      </c>
      <c r="F148" s="13">
        <f t="shared" si="16"/>
        <v>477.36495247707455</v>
      </c>
      <c r="G148" s="12">
        <f t="shared" si="17"/>
        <v>228540.05649531892</v>
      </c>
    </row>
    <row r="149" spans="2:7" x14ac:dyDescent="0.3">
      <c r="B149" s="11">
        <f t="shared" si="12"/>
        <v>50222</v>
      </c>
      <c r="C149" s="12">
        <f t="shared" si="13"/>
        <v>228540.05649531892</v>
      </c>
      <c r="D149" s="13">
        <f t="shared" si="14"/>
        <v>1072.4856461539562</v>
      </c>
      <c r="E149" s="13">
        <f t="shared" si="15"/>
        <v>596.36052845537506</v>
      </c>
      <c r="F149" s="13">
        <f t="shared" si="16"/>
        <v>476.12511769858105</v>
      </c>
      <c r="G149" s="12">
        <f t="shared" si="17"/>
        <v>227943.69596686354</v>
      </c>
    </row>
    <row r="150" spans="2:7" x14ac:dyDescent="0.3">
      <c r="B150" s="11">
        <f t="shared" si="12"/>
        <v>50253</v>
      </c>
      <c r="C150" s="12">
        <f t="shared" si="13"/>
        <v>227943.69596686354</v>
      </c>
      <c r="D150" s="13">
        <f t="shared" si="14"/>
        <v>1072.4856461539562</v>
      </c>
      <c r="E150" s="13">
        <f t="shared" si="15"/>
        <v>597.60294622299045</v>
      </c>
      <c r="F150" s="13">
        <f t="shared" si="16"/>
        <v>474.88269993096571</v>
      </c>
      <c r="G150" s="12">
        <f t="shared" si="17"/>
        <v>227346.09302064055</v>
      </c>
    </row>
    <row r="151" spans="2:7" x14ac:dyDescent="0.3">
      <c r="B151" s="11">
        <f t="shared" si="12"/>
        <v>50284</v>
      </c>
      <c r="C151" s="12">
        <f t="shared" si="13"/>
        <v>227346.09302064055</v>
      </c>
      <c r="D151" s="13">
        <f t="shared" si="14"/>
        <v>1072.4856461539562</v>
      </c>
      <c r="E151" s="13">
        <f t="shared" si="15"/>
        <v>598.84795236095511</v>
      </c>
      <c r="F151" s="13">
        <f t="shared" si="16"/>
        <v>473.63769379300112</v>
      </c>
      <c r="G151" s="12">
        <f t="shared" si="17"/>
        <v>226747.24506827959</v>
      </c>
    </row>
    <row r="152" spans="2:7" x14ac:dyDescent="0.3">
      <c r="B152" s="11">
        <f t="shared" si="12"/>
        <v>50314</v>
      </c>
      <c r="C152" s="12">
        <f t="shared" si="13"/>
        <v>226747.24506827959</v>
      </c>
      <c r="D152" s="13">
        <f t="shared" si="14"/>
        <v>1072.4856461539562</v>
      </c>
      <c r="E152" s="13">
        <f t="shared" si="15"/>
        <v>600.0955522617071</v>
      </c>
      <c r="F152" s="13">
        <f t="shared" si="16"/>
        <v>472.39009389224913</v>
      </c>
      <c r="G152" s="12">
        <f t="shared" si="17"/>
        <v>226147.14951601787</v>
      </c>
    </row>
    <row r="153" spans="2:7" x14ac:dyDescent="0.3">
      <c r="B153" s="11">
        <f t="shared" si="12"/>
        <v>50345</v>
      </c>
      <c r="C153" s="12">
        <f t="shared" si="13"/>
        <v>226147.14951601787</v>
      </c>
      <c r="D153" s="13">
        <f t="shared" si="14"/>
        <v>1072.4856461539562</v>
      </c>
      <c r="E153" s="13">
        <f t="shared" si="15"/>
        <v>601.34575132891894</v>
      </c>
      <c r="F153" s="13">
        <f t="shared" si="16"/>
        <v>471.13989482503723</v>
      </c>
      <c r="G153" s="12">
        <f t="shared" si="17"/>
        <v>225545.80376468896</v>
      </c>
    </row>
    <row r="154" spans="2:7" x14ac:dyDescent="0.3">
      <c r="B154" s="11">
        <f t="shared" si="12"/>
        <v>50375</v>
      </c>
      <c r="C154" s="12">
        <f t="shared" si="13"/>
        <v>225545.80376468896</v>
      </c>
      <c r="D154" s="13">
        <f t="shared" si="14"/>
        <v>1072.4856461539562</v>
      </c>
      <c r="E154" s="13">
        <f t="shared" si="15"/>
        <v>602.59855497752085</v>
      </c>
      <c r="F154" s="13">
        <f t="shared" si="16"/>
        <v>469.88709117643532</v>
      </c>
      <c r="G154" s="12">
        <f t="shared" si="17"/>
        <v>224943.20520971145</v>
      </c>
    </row>
    <row r="155" spans="2:7" x14ac:dyDescent="0.3">
      <c r="B155" s="11">
        <f t="shared" si="12"/>
        <v>50406</v>
      </c>
      <c r="C155" s="12">
        <f t="shared" si="13"/>
        <v>224943.20520971145</v>
      </c>
      <c r="D155" s="13">
        <f t="shared" si="14"/>
        <v>1072.4856461539562</v>
      </c>
      <c r="E155" s="13">
        <f t="shared" si="15"/>
        <v>603.85396863372398</v>
      </c>
      <c r="F155" s="13">
        <f t="shared" si="16"/>
        <v>468.63167752023219</v>
      </c>
      <c r="G155" s="12">
        <f t="shared" si="17"/>
        <v>224339.35124107773</v>
      </c>
    </row>
    <row r="156" spans="2:7" x14ac:dyDescent="0.3">
      <c r="B156" s="11">
        <f t="shared" si="12"/>
        <v>50437</v>
      </c>
      <c r="C156" s="12">
        <f t="shared" si="13"/>
        <v>224339.35124107773</v>
      </c>
      <c r="D156" s="13">
        <f t="shared" si="14"/>
        <v>1072.4856461539562</v>
      </c>
      <c r="E156" s="13">
        <f t="shared" si="15"/>
        <v>605.11199773504427</v>
      </c>
      <c r="F156" s="13">
        <f t="shared" si="16"/>
        <v>467.37364841891196</v>
      </c>
      <c r="G156" s="12">
        <f t="shared" si="17"/>
        <v>223734.23924334269</v>
      </c>
    </row>
    <row r="157" spans="2:7" x14ac:dyDescent="0.3">
      <c r="B157" s="11">
        <f t="shared" si="12"/>
        <v>50465</v>
      </c>
      <c r="C157" s="12">
        <f t="shared" si="13"/>
        <v>223734.23924334269</v>
      </c>
      <c r="D157" s="13">
        <f t="shared" si="14"/>
        <v>1072.4856461539562</v>
      </c>
      <c r="E157" s="13">
        <f t="shared" si="15"/>
        <v>606.37264773032553</v>
      </c>
      <c r="F157" s="13">
        <f t="shared" si="16"/>
        <v>466.11299842363059</v>
      </c>
      <c r="G157" s="12">
        <f t="shared" si="17"/>
        <v>223127.86659561237</v>
      </c>
    </row>
    <row r="158" spans="2:7" x14ac:dyDescent="0.3">
      <c r="B158" s="11">
        <f t="shared" si="12"/>
        <v>50496</v>
      </c>
      <c r="C158" s="12">
        <f t="shared" si="13"/>
        <v>223127.86659561237</v>
      </c>
      <c r="D158" s="13">
        <f t="shared" si="14"/>
        <v>1072.4856461539562</v>
      </c>
      <c r="E158" s="13">
        <f t="shared" si="15"/>
        <v>607.63592407976375</v>
      </c>
      <c r="F158" s="13">
        <f t="shared" si="16"/>
        <v>464.84972207419241</v>
      </c>
      <c r="G158" s="12">
        <f t="shared" si="17"/>
        <v>222520.2306715326</v>
      </c>
    </row>
    <row r="159" spans="2:7" x14ac:dyDescent="0.3">
      <c r="B159" s="11">
        <f t="shared" si="12"/>
        <v>50526</v>
      </c>
      <c r="C159" s="12">
        <f t="shared" si="13"/>
        <v>222520.2306715326</v>
      </c>
      <c r="D159" s="13">
        <f t="shared" si="14"/>
        <v>1072.4856461539562</v>
      </c>
      <c r="E159" s="13">
        <f t="shared" si="15"/>
        <v>608.90183225493001</v>
      </c>
      <c r="F159" s="13">
        <f t="shared" si="16"/>
        <v>463.58381389902621</v>
      </c>
      <c r="G159" s="12">
        <f t="shared" si="17"/>
        <v>221911.32883927767</v>
      </c>
    </row>
    <row r="160" spans="2:7" x14ac:dyDescent="0.3">
      <c r="B160" s="11">
        <f t="shared" si="12"/>
        <v>50557</v>
      </c>
      <c r="C160" s="12">
        <f t="shared" si="13"/>
        <v>221911.32883927767</v>
      </c>
      <c r="D160" s="13">
        <f t="shared" si="14"/>
        <v>1072.4856461539562</v>
      </c>
      <c r="E160" s="13">
        <f t="shared" si="15"/>
        <v>610.17037773879429</v>
      </c>
      <c r="F160" s="13">
        <f t="shared" si="16"/>
        <v>462.31526841516182</v>
      </c>
      <c r="G160" s="12">
        <f t="shared" si="17"/>
        <v>221301.15846153887</v>
      </c>
    </row>
    <row r="161" spans="2:7" x14ac:dyDescent="0.3">
      <c r="B161" s="11">
        <f t="shared" si="12"/>
        <v>50587</v>
      </c>
      <c r="C161" s="12">
        <f t="shared" si="13"/>
        <v>221301.15846153887</v>
      </c>
      <c r="D161" s="13">
        <f t="shared" si="14"/>
        <v>1072.4856461539562</v>
      </c>
      <c r="E161" s="13">
        <f t="shared" si="15"/>
        <v>611.44156602575026</v>
      </c>
      <c r="F161" s="13">
        <f t="shared" si="16"/>
        <v>461.04408012820596</v>
      </c>
      <c r="G161" s="12">
        <f t="shared" si="17"/>
        <v>220689.71689551312</v>
      </c>
    </row>
    <row r="162" spans="2:7" x14ac:dyDescent="0.3">
      <c r="B162" s="11">
        <f t="shared" si="12"/>
        <v>50618</v>
      </c>
      <c r="C162" s="12">
        <f t="shared" si="13"/>
        <v>220689.71689551312</v>
      </c>
      <c r="D162" s="13">
        <f t="shared" si="14"/>
        <v>1072.4856461539562</v>
      </c>
      <c r="E162" s="13">
        <f t="shared" si="15"/>
        <v>612.71540262163717</v>
      </c>
      <c r="F162" s="13">
        <f t="shared" si="16"/>
        <v>459.770243532319</v>
      </c>
      <c r="G162" s="12">
        <f t="shared" si="17"/>
        <v>220077.00149289149</v>
      </c>
    </row>
    <row r="163" spans="2:7" x14ac:dyDescent="0.3">
      <c r="B163" s="11">
        <f t="shared" si="12"/>
        <v>50649</v>
      </c>
      <c r="C163" s="12">
        <f t="shared" si="13"/>
        <v>220077.00149289149</v>
      </c>
      <c r="D163" s="13">
        <f t="shared" si="14"/>
        <v>1072.4856461539562</v>
      </c>
      <c r="E163" s="13">
        <f t="shared" si="15"/>
        <v>613.99189304376557</v>
      </c>
      <c r="F163" s="13">
        <f t="shared" si="16"/>
        <v>458.4937531101906</v>
      </c>
      <c r="G163" s="12">
        <f t="shared" si="17"/>
        <v>219463.00959984772</v>
      </c>
    </row>
    <row r="164" spans="2:7" x14ac:dyDescent="0.3">
      <c r="B164" s="11">
        <f t="shared" si="12"/>
        <v>50679</v>
      </c>
      <c r="C164" s="12">
        <f t="shared" si="13"/>
        <v>219463.00959984772</v>
      </c>
      <c r="D164" s="13">
        <f t="shared" si="14"/>
        <v>1072.4856461539562</v>
      </c>
      <c r="E164" s="13">
        <f t="shared" si="15"/>
        <v>615.27104282094001</v>
      </c>
      <c r="F164" s="13">
        <f t="shared" si="16"/>
        <v>457.2146033330161</v>
      </c>
      <c r="G164" s="12">
        <f t="shared" si="17"/>
        <v>218847.73855702678</v>
      </c>
    </row>
    <row r="165" spans="2:7" x14ac:dyDescent="0.3">
      <c r="B165" s="11">
        <f t="shared" si="12"/>
        <v>50710</v>
      </c>
      <c r="C165" s="12">
        <f t="shared" si="13"/>
        <v>218847.73855702678</v>
      </c>
      <c r="D165" s="13">
        <f t="shared" si="14"/>
        <v>1072.4856461539562</v>
      </c>
      <c r="E165" s="13">
        <f t="shared" si="15"/>
        <v>616.55285749348377</v>
      </c>
      <c r="F165" s="13">
        <f t="shared" si="16"/>
        <v>455.93278866047245</v>
      </c>
      <c r="G165" s="12">
        <f t="shared" si="17"/>
        <v>218231.18569953329</v>
      </c>
    </row>
    <row r="166" spans="2:7" x14ac:dyDescent="0.3">
      <c r="B166" s="11">
        <f t="shared" si="12"/>
        <v>50740</v>
      </c>
      <c r="C166" s="12">
        <f t="shared" si="13"/>
        <v>218231.18569953329</v>
      </c>
      <c r="D166" s="13">
        <f t="shared" si="14"/>
        <v>1072.4856461539562</v>
      </c>
      <c r="E166" s="13">
        <f t="shared" si="15"/>
        <v>617.83734261326185</v>
      </c>
      <c r="F166" s="13">
        <f t="shared" si="16"/>
        <v>454.64830354069437</v>
      </c>
      <c r="G166" s="12">
        <f t="shared" si="17"/>
        <v>217613.34835692003</v>
      </c>
    </row>
    <row r="167" spans="2:7" x14ac:dyDescent="0.3">
      <c r="B167" s="11">
        <f t="shared" si="12"/>
        <v>50771</v>
      </c>
      <c r="C167" s="12">
        <f t="shared" si="13"/>
        <v>217613.34835692003</v>
      </c>
      <c r="D167" s="13">
        <f t="shared" si="14"/>
        <v>1072.4856461539562</v>
      </c>
      <c r="E167" s="13">
        <f t="shared" si="15"/>
        <v>619.1245037437061</v>
      </c>
      <c r="F167" s="13">
        <f t="shared" si="16"/>
        <v>453.36114241025007</v>
      </c>
      <c r="G167" s="12">
        <f t="shared" si="17"/>
        <v>216994.22385317631</v>
      </c>
    </row>
    <row r="168" spans="2:7" x14ac:dyDescent="0.3">
      <c r="B168" s="11">
        <f t="shared" si="12"/>
        <v>50802</v>
      </c>
      <c r="C168" s="12">
        <f t="shared" si="13"/>
        <v>216994.22385317631</v>
      </c>
      <c r="D168" s="13">
        <f t="shared" si="14"/>
        <v>1072.4856461539562</v>
      </c>
      <c r="E168" s="13">
        <f t="shared" si="15"/>
        <v>620.41434645983884</v>
      </c>
      <c r="F168" s="13">
        <f t="shared" si="16"/>
        <v>452.07129969411733</v>
      </c>
      <c r="G168" s="12">
        <f t="shared" si="17"/>
        <v>216373.80950671647</v>
      </c>
    </row>
    <row r="169" spans="2:7" x14ac:dyDescent="0.3">
      <c r="B169" s="11">
        <f t="shared" si="12"/>
        <v>50830</v>
      </c>
      <c r="C169" s="12">
        <f t="shared" si="13"/>
        <v>216373.80950671647</v>
      </c>
      <c r="D169" s="13">
        <f t="shared" si="14"/>
        <v>1072.4856461539562</v>
      </c>
      <c r="E169" s="13">
        <f t="shared" si="15"/>
        <v>621.70687634829687</v>
      </c>
      <c r="F169" s="13">
        <f t="shared" si="16"/>
        <v>450.77876980565929</v>
      </c>
      <c r="G169" s="12">
        <f t="shared" si="17"/>
        <v>215752.10263036817</v>
      </c>
    </row>
    <row r="170" spans="2:7" x14ac:dyDescent="0.3">
      <c r="B170" s="11">
        <f t="shared" si="12"/>
        <v>50861</v>
      </c>
      <c r="C170" s="12">
        <f t="shared" si="13"/>
        <v>215752.10263036817</v>
      </c>
      <c r="D170" s="13">
        <f t="shared" si="14"/>
        <v>1072.4856461539562</v>
      </c>
      <c r="E170" s="13">
        <f t="shared" si="15"/>
        <v>623.00209900735581</v>
      </c>
      <c r="F170" s="13">
        <f t="shared" si="16"/>
        <v>449.48354714660036</v>
      </c>
      <c r="G170" s="12">
        <f t="shared" si="17"/>
        <v>215129.1005313608</v>
      </c>
    </row>
    <row r="171" spans="2:7" x14ac:dyDescent="0.3">
      <c r="B171" s="11">
        <f t="shared" si="12"/>
        <v>50891</v>
      </c>
      <c r="C171" s="12">
        <f t="shared" si="13"/>
        <v>215129.1005313608</v>
      </c>
      <c r="D171" s="13">
        <f t="shared" si="14"/>
        <v>1072.4856461539562</v>
      </c>
      <c r="E171" s="13">
        <f t="shared" si="15"/>
        <v>624.3000200469545</v>
      </c>
      <c r="F171" s="13">
        <f t="shared" si="16"/>
        <v>448.18562610700167</v>
      </c>
      <c r="G171" s="12">
        <f t="shared" si="17"/>
        <v>214504.80051131384</v>
      </c>
    </row>
    <row r="172" spans="2:7" x14ac:dyDescent="0.3">
      <c r="B172" s="11">
        <f t="shared" si="12"/>
        <v>50922</v>
      </c>
      <c r="C172" s="12">
        <f t="shared" si="13"/>
        <v>214504.80051131384</v>
      </c>
      <c r="D172" s="13">
        <f t="shared" si="14"/>
        <v>1072.4856461539562</v>
      </c>
      <c r="E172" s="13">
        <f t="shared" si="15"/>
        <v>625.60064508871903</v>
      </c>
      <c r="F172" s="13">
        <f t="shared" si="16"/>
        <v>446.88500106523713</v>
      </c>
      <c r="G172" s="12">
        <f t="shared" si="17"/>
        <v>213879.19986622513</v>
      </c>
    </row>
    <row r="173" spans="2:7" x14ac:dyDescent="0.3">
      <c r="B173" s="11">
        <f t="shared" si="12"/>
        <v>50952</v>
      </c>
      <c r="C173" s="12">
        <f t="shared" si="13"/>
        <v>213879.19986622513</v>
      </c>
      <c r="D173" s="13">
        <f t="shared" si="14"/>
        <v>1072.4856461539562</v>
      </c>
      <c r="E173" s="13">
        <f t="shared" si="15"/>
        <v>626.90397976598717</v>
      </c>
      <c r="F173" s="13">
        <f t="shared" si="16"/>
        <v>445.58166638796899</v>
      </c>
      <c r="G173" s="12">
        <f t="shared" si="17"/>
        <v>213252.29588645915</v>
      </c>
    </row>
    <row r="174" spans="2:7" x14ac:dyDescent="0.3">
      <c r="B174" s="11">
        <f t="shared" si="12"/>
        <v>50983</v>
      </c>
      <c r="C174" s="12">
        <f t="shared" si="13"/>
        <v>213252.29588645915</v>
      </c>
      <c r="D174" s="13">
        <f t="shared" si="14"/>
        <v>1072.4856461539562</v>
      </c>
      <c r="E174" s="13">
        <f t="shared" si="15"/>
        <v>628.21002972383303</v>
      </c>
      <c r="F174" s="13">
        <f t="shared" si="16"/>
        <v>444.27561643012319</v>
      </c>
      <c r="G174" s="12">
        <f t="shared" si="17"/>
        <v>212624.08585673533</v>
      </c>
    </row>
    <row r="175" spans="2:7" x14ac:dyDescent="0.3">
      <c r="B175" s="11">
        <f t="shared" si="12"/>
        <v>51014</v>
      </c>
      <c r="C175" s="12">
        <f t="shared" si="13"/>
        <v>212624.08585673533</v>
      </c>
      <c r="D175" s="13">
        <f t="shared" si="14"/>
        <v>1072.4856461539562</v>
      </c>
      <c r="E175" s="13">
        <f t="shared" si="15"/>
        <v>629.51880061909083</v>
      </c>
      <c r="F175" s="13">
        <f t="shared" si="16"/>
        <v>442.96684553486529</v>
      </c>
      <c r="G175" s="12">
        <f t="shared" si="17"/>
        <v>211994.56705611624</v>
      </c>
    </row>
    <row r="176" spans="2:7" x14ac:dyDescent="0.3">
      <c r="B176" s="11">
        <f t="shared" si="12"/>
        <v>51044</v>
      </c>
      <c r="C176" s="12">
        <f t="shared" si="13"/>
        <v>211994.56705611624</v>
      </c>
      <c r="D176" s="13">
        <f t="shared" si="14"/>
        <v>1072.4856461539562</v>
      </c>
      <c r="E176" s="13">
        <f t="shared" si="15"/>
        <v>630.83029812038069</v>
      </c>
      <c r="F176" s="13">
        <f t="shared" si="16"/>
        <v>441.65534803357548</v>
      </c>
      <c r="G176" s="12">
        <f t="shared" si="17"/>
        <v>211363.73675799585</v>
      </c>
    </row>
    <row r="177" spans="2:7" x14ac:dyDescent="0.3">
      <c r="B177" s="11">
        <f t="shared" si="12"/>
        <v>51075</v>
      </c>
      <c r="C177" s="12">
        <f t="shared" si="13"/>
        <v>211363.73675799585</v>
      </c>
      <c r="D177" s="13">
        <f t="shared" si="14"/>
        <v>1072.4856461539562</v>
      </c>
      <c r="E177" s="13">
        <f t="shared" si="15"/>
        <v>632.14452790813152</v>
      </c>
      <c r="F177" s="13">
        <f t="shared" si="16"/>
        <v>440.3411182458247</v>
      </c>
      <c r="G177" s="12">
        <f t="shared" si="17"/>
        <v>210731.59223008773</v>
      </c>
    </row>
    <row r="178" spans="2:7" x14ac:dyDescent="0.3">
      <c r="B178" s="11">
        <f t="shared" si="12"/>
        <v>51105</v>
      </c>
      <c r="C178" s="12">
        <f t="shared" si="13"/>
        <v>210731.59223008773</v>
      </c>
      <c r="D178" s="13">
        <f t="shared" si="14"/>
        <v>1072.4856461539562</v>
      </c>
      <c r="E178" s="13">
        <f t="shared" si="15"/>
        <v>633.46149567460679</v>
      </c>
      <c r="F178" s="13">
        <f t="shared" si="16"/>
        <v>439.02415047934943</v>
      </c>
      <c r="G178" s="12">
        <f t="shared" si="17"/>
        <v>210098.13073441313</v>
      </c>
    </row>
    <row r="179" spans="2:7" x14ac:dyDescent="0.3">
      <c r="B179" s="11">
        <f t="shared" si="12"/>
        <v>51136</v>
      </c>
      <c r="C179" s="12">
        <f t="shared" si="13"/>
        <v>210098.13073441313</v>
      </c>
      <c r="D179" s="13">
        <f t="shared" si="14"/>
        <v>1072.4856461539562</v>
      </c>
      <c r="E179" s="13">
        <f t="shared" si="15"/>
        <v>634.78120712392888</v>
      </c>
      <c r="F179" s="13">
        <f t="shared" si="16"/>
        <v>437.70443903002734</v>
      </c>
      <c r="G179" s="12">
        <f t="shared" si="17"/>
        <v>209463.34952728922</v>
      </c>
    </row>
    <row r="180" spans="2:7" x14ac:dyDescent="0.3">
      <c r="B180" s="11">
        <f t="shared" si="12"/>
        <v>51167</v>
      </c>
      <c r="C180" s="12">
        <f t="shared" si="13"/>
        <v>209463.34952728922</v>
      </c>
      <c r="D180" s="13">
        <f t="shared" si="14"/>
        <v>1072.4856461539562</v>
      </c>
      <c r="E180" s="13">
        <f t="shared" si="15"/>
        <v>636.10366797210372</v>
      </c>
      <c r="F180" s="13">
        <f t="shared" si="16"/>
        <v>436.3819781818525</v>
      </c>
      <c r="G180" s="12">
        <f t="shared" si="17"/>
        <v>208827.2458593171</v>
      </c>
    </row>
    <row r="181" spans="2:7" x14ac:dyDescent="0.3">
      <c r="B181" s="11">
        <f t="shared" si="12"/>
        <v>51196</v>
      </c>
      <c r="C181" s="12">
        <f t="shared" si="13"/>
        <v>208827.2458593171</v>
      </c>
      <c r="D181" s="13">
        <f t="shared" si="14"/>
        <v>1072.4856461539562</v>
      </c>
      <c r="E181" s="13">
        <f t="shared" si="15"/>
        <v>637.42888394704551</v>
      </c>
      <c r="F181" s="13">
        <f t="shared" si="16"/>
        <v>435.05676220691061</v>
      </c>
      <c r="G181" s="12">
        <f t="shared" si="17"/>
        <v>208189.81697537005</v>
      </c>
    </row>
    <row r="182" spans="2:7" x14ac:dyDescent="0.3">
      <c r="B182" s="11">
        <f t="shared" si="12"/>
        <v>51227</v>
      </c>
      <c r="C182" s="12">
        <f t="shared" si="13"/>
        <v>208189.81697537005</v>
      </c>
      <c r="D182" s="13">
        <f t="shared" si="14"/>
        <v>1072.4856461539562</v>
      </c>
      <c r="E182" s="13">
        <f t="shared" si="15"/>
        <v>638.7568607886019</v>
      </c>
      <c r="F182" s="13">
        <f t="shared" si="16"/>
        <v>433.72878536535427</v>
      </c>
      <c r="G182" s="12">
        <f t="shared" si="17"/>
        <v>207551.06011458146</v>
      </c>
    </row>
    <row r="183" spans="2:7" x14ac:dyDescent="0.3">
      <c r="B183" s="11">
        <f t="shared" si="12"/>
        <v>51257</v>
      </c>
      <c r="C183" s="12">
        <f t="shared" si="13"/>
        <v>207551.06011458146</v>
      </c>
      <c r="D183" s="13">
        <f t="shared" si="14"/>
        <v>1072.4856461539562</v>
      </c>
      <c r="E183" s="13">
        <f t="shared" si="15"/>
        <v>640.08760424857815</v>
      </c>
      <c r="F183" s="13">
        <f t="shared" si="16"/>
        <v>432.39804190537802</v>
      </c>
      <c r="G183" s="12">
        <f t="shared" si="17"/>
        <v>206910.97251033288</v>
      </c>
    </row>
    <row r="184" spans="2:7" x14ac:dyDescent="0.3">
      <c r="B184" s="11">
        <f t="shared" si="12"/>
        <v>51288</v>
      </c>
      <c r="C184" s="12">
        <f t="shared" si="13"/>
        <v>206910.97251033288</v>
      </c>
      <c r="D184" s="13">
        <f t="shared" si="14"/>
        <v>1072.4856461539562</v>
      </c>
      <c r="E184" s="13">
        <f t="shared" si="15"/>
        <v>641.42112009076266</v>
      </c>
      <c r="F184" s="13">
        <f t="shared" si="16"/>
        <v>431.06452606319351</v>
      </c>
      <c r="G184" s="12">
        <f t="shared" si="17"/>
        <v>206269.55139024212</v>
      </c>
    </row>
    <row r="185" spans="2:7" x14ac:dyDescent="0.3">
      <c r="B185" s="11">
        <f t="shared" si="12"/>
        <v>51318</v>
      </c>
      <c r="C185" s="12">
        <f t="shared" si="13"/>
        <v>206269.55139024212</v>
      </c>
      <c r="D185" s="13">
        <f t="shared" si="14"/>
        <v>1072.4856461539562</v>
      </c>
      <c r="E185" s="13">
        <f t="shared" si="15"/>
        <v>642.75741409095167</v>
      </c>
      <c r="F185" s="13">
        <f t="shared" si="16"/>
        <v>429.72823206300444</v>
      </c>
      <c r="G185" s="12">
        <f t="shared" si="17"/>
        <v>205626.79397615118</v>
      </c>
    </row>
    <row r="186" spans="2:7" x14ac:dyDescent="0.3">
      <c r="B186" s="11">
        <f t="shared" si="12"/>
        <v>51349</v>
      </c>
      <c r="C186" s="12">
        <f t="shared" si="13"/>
        <v>205626.79397615118</v>
      </c>
      <c r="D186" s="13">
        <f t="shared" si="14"/>
        <v>1072.4856461539562</v>
      </c>
      <c r="E186" s="13">
        <f t="shared" si="15"/>
        <v>644.0964920369745</v>
      </c>
      <c r="F186" s="13">
        <f t="shared" si="16"/>
        <v>428.38915411698162</v>
      </c>
      <c r="G186" s="12">
        <f t="shared" si="17"/>
        <v>204982.69748411421</v>
      </c>
    </row>
    <row r="187" spans="2:7" x14ac:dyDescent="0.3">
      <c r="B187" s="11">
        <f t="shared" si="12"/>
        <v>51380</v>
      </c>
      <c r="C187" s="12">
        <f t="shared" si="13"/>
        <v>204982.69748411421</v>
      </c>
      <c r="D187" s="13">
        <f t="shared" si="14"/>
        <v>1072.4856461539562</v>
      </c>
      <c r="E187" s="13">
        <f t="shared" si="15"/>
        <v>645.4383597287183</v>
      </c>
      <c r="F187" s="13">
        <f t="shared" si="16"/>
        <v>427.04728642523793</v>
      </c>
      <c r="G187" s="12">
        <f t="shared" si="17"/>
        <v>204337.25912438548</v>
      </c>
    </row>
    <row r="188" spans="2:7" x14ac:dyDescent="0.3">
      <c r="B188" s="11">
        <f t="shared" si="12"/>
        <v>51410</v>
      </c>
      <c r="C188" s="12">
        <f t="shared" si="13"/>
        <v>204337.25912438548</v>
      </c>
      <c r="D188" s="13">
        <f t="shared" si="14"/>
        <v>1072.4856461539562</v>
      </c>
      <c r="E188" s="13">
        <f t="shared" si="15"/>
        <v>646.7830229781531</v>
      </c>
      <c r="F188" s="13">
        <f t="shared" si="16"/>
        <v>425.70262317580307</v>
      </c>
      <c r="G188" s="12">
        <f t="shared" si="17"/>
        <v>203690.47610140734</v>
      </c>
    </row>
    <row r="189" spans="2:7" x14ac:dyDescent="0.3">
      <c r="B189" s="11">
        <f t="shared" si="12"/>
        <v>51441</v>
      </c>
      <c r="C189" s="12">
        <f t="shared" si="13"/>
        <v>203690.47610140734</v>
      </c>
      <c r="D189" s="13">
        <f t="shared" si="14"/>
        <v>1072.4856461539562</v>
      </c>
      <c r="E189" s="13">
        <f t="shared" si="15"/>
        <v>648.13048760935749</v>
      </c>
      <c r="F189" s="13">
        <f t="shared" si="16"/>
        <v>424.35515854459862</v>
      </c>
      <c r="G189" s="12">
        <f t="shared" si="17"/>
        <v>203042.34561379798</v>
      </c>
    </row>
    <row r="190" spans="2:7" x14ac:dyDescent="0.3">
      <c r="B190" s="11">
        <f t="shared" si="12"/>
        <v>51471</v>
      </c>
      <c r="C190" s="12">
        <f t="shared" si="13"/>
        <v>203042.34561379798</v>
      </c>
      <c r="D190" s="13">
        <f t="shared" si="14"/>
        <v>1072.4856461539562</v>
      </c>
      <c r="E190" s="13">
        <f t="shared" si="15"/>
        <v>649.48075945854373</v>
      </c>
      <c r="F190" s="13">
        <f t="shared" si="16"/>
        <v>423.00488669541244</v>
      </c>
      <c r="G190" s="12">
        <f t="shared" si="17"/>
        <v>202392.86485433942</v>
      </c>
    </row>
    <row r="191" spans="2:7" x14ac:dyDescent="0.3">
      <c r="B191" s="11">
        <f t="shared" si="12"/>
        <v>51502</v>
      </c>
      <c r="C191" s="12">
        <f t="shared" si="13"/>
        <v>202392.86485433942</v>
      </c>
      <c r="D191" s="13">
        <f t="shared" si="14"/>
        <v>1072.4856461539562</v>
      </c>
      <c r="E191" s="13">
        <f t="shared" si="15"/>
        <v>650.83384437408245</v>
      </c>
      <c r="F191" s="13">
        <f t="shared" si="16"/>
        <v>421.65180177987378</v>
      </c>
      <c r="G191" s="12">
        <f t="shared" si="17"/>
        <v>201742.03100996534</v>
      </c>
    </row>
    <row r="192" spans="2:7" x14ac:dyDescent="0.3">
      <c r="B192" s="11">
        <f t="shared" si="12"/>
        <v>51533</v>
      </c>
      <c r="C192" s="12">
        <f t="shared" si="13"/>
        <v>201742.03100996534</v>
      </c>
      <c r="D192" s="13">
        <f t="shared" si="14"/>
        <v>1072.4856461539562</v>
      </c>
      <c r="E192" s="13">
        <f t="shared" si="15"/>
        <v>652.18974821652841</v>
      </c>
      <c r="F192" s="13">
        <f t="shared" si="16"/>
        <v>420.29589793742781</v>
      </c>
      <c r="G192" s="12">
        <f t="shared" si="17"/>
        <v>201089.84126174881</v>
      </c>
    </row>
    <row r="193" spans="2:7" x14ac:dyDescent="0.3">
      <c r="B193" s="11">
        <f t="shared" si="12"/>
        <v>51561</v>
      </c>
      <c r="C193" s="12">
        <f t="shared" si="13"/>
        <v>201089.84126174881</v>
      </c>
      <c r="D193" s="13">
        <f t="shared" si="14"/>
        <v>1072.4856461539562</v>
      </c>
      <c r="E193" s="13">
        <f t="shared" si="15"/>
        <v>653.54847685864615</v>
      </c>
      <c r="F193" s="13">
        <f t="shared" si="16"/>
        <v>418.93716929531001</v>
      </c>
      <c r="G193" s="12">
        <f t="shared" si="17"/>
        <v>200436.29278489016</v>
      </c>
    </row>
    <row r="194" spans="2:7" x14ac:dyDescent="0.3">
      <c r="B194" s="11">
        <f t="shared" si="12"/>
        <v>51592</v>
      </c>
      <c r="C194" s="12">
        <f t="shared" si="13"/>
        <v>200436.29278489016</v>
      </c>
      <c r="D194" s="13">
        <f t="shared" si="14"/>
        <v>1072.4856461539562</v>
      </c>
      <c r="E194" s="13">
        <f t="shared" si="15"/>
        <v>654.91003618543505</v>
      </c>
      <c r="F194" s="13">
        <f t="shared" si="16"/>
        <v>417.57560996852118</v>
      </c>
      <c r="G194" s="12">
        <f t="shared" si="17"/>
        <v>199781.38274870472</v>
      </c>
    </row>
    <row r="195" spans="2:7" x14ac:dyDescent="0.3">
      <c r="B195" s="11">
        <f t="shared" si="12"/>
        <v>51622</v>
      </c>
      <c r="C195" s="12">
        <f t="shared" si="13"/>
        <v>199781.38274870472</v>
      </c>
      <c r="D195" s="13">
        <f t="shared" si="14"/>
        <v>1072.4856461539562</v>
      </c>
      <c r="E195" s="13">
        <f t="shared" si="15"/>
        <v>656.27443209415469</v>
      </c>
      <c r="F195" s="13">
        <f t="shared" si="16"/>
        <v>416.21121405980148</v>
      </c>
      <c r="G195" s="12">
        <f t="shared" si="17"/>
        <v>199125.10831661057</v>
      </c>
    </row>
    <row r="196" spans="2:7" x14ac:dyDescent="0.3">
      <c r="B196" s="11">
        <f t="shared" si="12"/>
        <v>51653</v>
      </c>
      <c r="C196" s="12">
        <f t="shared" si="13"/>
        <v>199125.10831661057</v>
      </c>
      <c r="D196" s="13">
        <f t="shared" si="14"/>
        <v>1072.4856461539562</v>
      </c>
      <c r="E196" s="13">
        <f t="shared" si="15"/>
        <v>657.64167049435082</v>
      </c>
      <c r="F196" s="13">
        <f t="shared" si="16"/>
        <v>414.84397565960535</v>
      </c>
      <c r="G196" s="12">
        <f t="shared" si="17"/>
        <v>198467.46664611623</v>
      </c>
    </row>
    <row r="197" spans="2:7" x14ac:dyDescent="0.3">
      <c r="B197" s="11">
        <f t="shared" si="12"/>
        <v>51683</v>
      </c>
      <c r="C197" s="12">
        <f t="shared" si="13"/>
        <v>198467.46664611623</v>
      </c>
      <c r="D197" s="13">
        <f t="shared" si="14"/>
        <v>1072.4856461539562</v>
      </c>
      <c r="E197" s="13">
        <f t="shared" si="15"/>
        <v>659.01175730788077</v>
      </c>
      <c r="F197" s="13">
        <f t="shared" si="16"/>
        <v>413.47388884607545</v>
      </c>
      <c r="G197" s="12">
        <f t="shared" si="17"/>
        <v>197808.45488880834</v>
      </c>
    </row>
    <row r="198" spans="2:7" x14ac:dyDescent="0.3">
      <c r="B198" s="11">
        <f t="shared" si="12"/>
        <v>51714</v>
      </c>
      <c r="C198" s="12">
        <f t="shared" si="13"/>
        <v>197808.45488880834</v>
      </c>
      <c r="D198" s="13">
        <f t="shared" si="14"/>
        <v>1072.4856461539562</v>
      </c>
      <c r="E198" s="13">
        <f t="shared" si="15"/>
        <v>660.38469846893872</v>
      </c>
      <c r="F198" s="13">
        <f t="shared" si="16"/>
        <v>412.10094768501739</v>
      </c>
      <c r="G198" s="12">
        <f t="shared" si="17"/>
        <v>197148.07019033941</v>
      </c>
    </row>
    <row r="199" spans="2:7" x14ac:dyDescent="0.3">
      <c r="B199" s="11">
        <f t="shared" si="12"/>
        <v>51745</v>
      </c>
      <c r="C199" s="12">
        <f t="shared" si="13"/>
        <v>197148.07019033941</v>
      </c>
      <c r="D199" s="13">
        <f t="shared" si="14"/>
        <v>1072.4856461539562</v>
      </c>
      <c r="E199" s="13">
        <f t="shared" si="15"/>
        <v>661.76049992408241</v>
      </c>
      <c r="F199" s="13">
        <f t="shared" si="16"/>
        <v>410.72514622987376</v>
      </c>
      <c r="G199" s="12">
        <f t="shared" si="17"/>
        <v>196486.30969041534</v>
      </c>
    </row>
    <row r="200" spans="2:7" x14ac:dyDescent="0.3">
      <c r="B200" s="11">
        <f t="shared" si="12"/>
        <v>51775</v>
      </c>
      <c r="C200" s="12">
        <f t="shared" si="13"/>
        <v>196486.30969041534</v>
      </c>
      <c r="D200" s="13">
        <f t="shared" si="14"/>
        <v>1072.4856461539562</v>
      </c>
      <c r="E200" s="13">
        <f t="shared" si="15"/>
        <v>663.13916763225757</v>
      </c>
      <c r="F200" s="13">
        <f t="shared" si="16"/>
        <v>409.3464785216986</v>
      </c>
      <c r="G200" s="12">
        <f t="shared" si="17"/>
        <v>195823.17052278307</v>
      </c>
    </row>
    <row r="201" spans="2:7" x14ac:dyDescent="0.3">
      <c r="B201" s="11">
        <f t="shared" si="12"/>
        <v>51806</v>
      </c>
      <c r="C201" s="12">
        <f t="shared" si="13"/>
        <v>195823.17052278307</v>
      </c>
      <c r="D201" s="13">
        <f t="shared" si="14"/>
        <v>1072.4856461539562</v>
      </c>
      <c r="E201" s="13">
        <f t="shared" si="15"/>
        <v>664.52070756482476</v>
      </c>
      <c r="F201" s="13">
        <f t="shared" si="16"/>
        <v>407.96493858913141</v>
      </c>
      <c r="G201" s="12">
        <f t="shared" si="17"/>
        <v>195158.64981521823</v>
      </c>
    </row>
    <row r="202" spans="2:7" x14ac:dyDescent="0.3">
      <c r="B202" s="11">
        <f t="shared" si="12"/>
        <v>51836</v>
      </c>
      <c r="C202" s="12">
        <f t="shared" si="13"/>
        <v>195158.64981521823</v>
      </c>
      <c r="D202" s="13">
        <f t="shared" si="14"/>
        <v>1072.4856461539562</v>
      </c>
      <c r="E202" s="13">
        <f t="shared" si="15"/>
        <v>665.90512570558485</v>
      </c>
      <c r="F202" s="13">
        <f t="shared" si="16"/>
        <v>406.58052044837132</v>
      </c>
      <c r="G202" s="12">
        <f t="shared" si="17"/>
        <v>194492.74468951265</v>
      </c>
    </row>
    <row r="203" spans="2:7" x14ac:dyDescent="0.3">
      <c r="B203" s="11">
        <f t="shared" si="12"/>
        <v>51867</v>
      </c>
      <c r="C203" s="12">
        <f t="shared" si="13"/>
        <v>194492.74468951265</v>
      </c>
      <c r="D203" s="13">
        <f t="shared" si="14"/>
        <v>1072.4856461539562</v>
      </c>
      <c r="E203" s="13">
        <f t="shared" si="15"/>
        <v>667.2924280508048</v>
      </c>
      <c r="F203" s="13">
        <f t="shared" si="16"/>
        <v>405.19321810315137</v>
      </c>
      <c r="G203" s="12">
        <f t="shared" si="17"/>
        <v>193825.45226146185</v>
      </c>
    </row>
    <row r="204" spans="2:7" x14ac:dyDescent="0.3">
      <c r="B204" s="11">
        <f t="shared" si="12"/>
        <v>51898</v>
      </c>
      <c r="C204" s="12">
        <f t="shared" si="13"/>
        <v>193825.45226146185</v>
      </c>
      <c r="D204" s="13">
        <f t="shared" si="14"/>
        <v>1072.4856461539562</v>
      </c>
      <c r="E204" s="13">
        <f t="shared" si="15"/>
        <v>668.68262060924394</v>
      </c>
      <c r="F204" s="13">
        <f t="shared" si="16"/>
        <v>403.80302554471217</v>
      </c>
      <c r="G204" s="12">
        <f t="shared" si="17"/>
        <v>193156.76964085261</v>
      </c>
    </row>
    <row r="205" spans="2:7" x14ac:dyDescent="0.3">
      <c r="B205" s="11">
        <f t="shared" ref="B205:B268" si="18">EDATE(B204,1)</f>
        <v>51926</v>
      </c>
      <c r="C205" s="12">
        <f t="shared" ref="C205:C268" si="19">G204</f>
        <v>193156.76964085261</v>
      </c>
      <c r="D205" s="13">
        <f t="shared" ref="D205:D268" si="20">IF(G204&lt;=0.1,0,-PMT($C$6,$C$7,$C$3))</f>
        <v>1072.4856461539562</v>
      </c>
      <c r="E205" s="13">
        <f t="shared" ref="E205:E268" si="21">D205-F205</f>
        <v>670.07570940217988</v>
      </c>
      <c r="F205" s="13">
        <f t="shared" ref="F205:F268" si="22">C205*$C$6</f>
        <v>402.40993675177629</v>
      </c>
      <c r="G205" s="12">
        <f t="shared" ref="G205:G268" si="23">C205-E205</f>
        <v>192486.69393145043</v>
      </c>
    </row>
    <row r="206" spans="2:7" x14ac:dyDescent="0.3">
      <c r="B206" s="11">
        <f t="shared" si="18"/>
        <v>51957</v>
      </c>
      <c r="C206" s="12">
        <f t="shared" si="19"/>
        <v>192486.69393145043</v>
      </c>
      <c r="D206" s="13">
        <f t="shared" si="20"/>
        <v>1072.4856461539562</v>
      </c>
      <c r="E206" s="13">
        <f t="shared" si="21"/>
        <v>671.47170046343444</v>
      </c>
      <c r="F206" s="13">
        <f t="shared" si="22"/>
        <v>401.01394569052172</v>
      </c>
      <c r="G206" s="12">
        <f t="shared" si="23"/>
        <v>191815.22223098698</v>
      </c>
    </row>
    <row r="207" spans="2:7" x14ac:dyDescent="0.3">
      <c r="B207" s="11">
        <f t="shared" si="18"/>
        <v>51987</v>
      </c>
      <c r="C207" s="12">
        <f t="shared" si="19"/>
        <v>191815.22223098698</v>
      </c>
      <c r="D207" s="13">
        <f t="shared" si="20"/>
        <v>1072.4856461539562</v>
      </c>
      <c r="E207" s="13">
        <f t="shared" si="21"/>
        <v>672.87059983940003</v>
      </c>
      <c r="F207" s="13">
        <f t="shared" si="22"/>
        <v>399.6150463145562</v>
      </c>
      <c r="G207" s="12">
        <f t="shared" si="23"/>
        <v>191142.35163114758</v>
      </c>
    </row>
    <row r="208" spans="2:7" x14ac:dyDescent="0.3">
      <c r="B208" s="11">
        <f t="shared" si="18"/>
        <v>52018</v>
      </c>
      <c r="C208" s="12">
        <f t="shared" si="19"/>
        <v>191142.35163114758</v>
      </c>
      <c r="D208" s="13">
        <f t="shared" si="20"/>
        <v>1072.4856461539562</v>
      </c>
      <c r="E208" s="13">
        <f t="shared" si="21"/>
        <v>674.27241358906531</v>
      </c>
      <c r="F208" s="13">
        <f t="shared" si="22"/>
        <v>398.2132325648908</v>
      </c>
      <c r="G208" s="12">
        <f t="shared" si="23"/>
        <v>190468.07921755852</v>
      </c>
    </row>
    <row r="209" spans="2:7" x14ac:dyDescent="0.3">
      <c r="B209" s="11">
        <f t="shared" si="18"/>
        <v>52048</v>
      </c>
      <c r="C209" s="12">
        <f t="shared" si="19"/>
        <v>190468.07921755852</v>
      </c>
      <c r="D209" s="13">
        <f t="shared" si="20"/>
        <v>1072.4856461539562</v>
      </c>
      <c r="E209" s="13">
        <f t="shared" si="21"/>
        <v>675.67714778404252</v>
      </c>
      <c r="F209" s="13">
        <f t="shared" si="22"/>
        <v>396.80849836991359</v>
      </c>
      <c r="G209" s="12">
        <f t="shared" si="23"/>
        <v>189792.40206977449</v>
      </c>
    </row>
    <row r="210" spans="2:7" x14ac:dyDescent="0.3">
      <c r="B210" s="11">
        <f t="shared" si="18"/>
        <v>52079</v>
      </c>
      <c r="C210" s="12">
        <f t="shared" si="19"/>
        <v>189792.40206977449</v>
      </c>
      <c r="D210" s="13">
        <f t="shared" si="20"/>
        <v>1072.4856461539562</v>
      </c>
      <c r="E210" s="13">
        <f t="shared" si="21"/>
        <v>677.08480850859269</v>
      </c>
      <c r="F210" s="13">
        <f t="shared" si="22"/>
        <v>395.40083764536348</v>
      </c>
      <c r="G210" s="12">
        <f t="shared" si="23"/>
        <v>189115.31726126588</v>
      </c>
    </row>
    <row r="211" spans="2:7" x14ac:dyDescent="0.3">
      <c r="B211" s="11">
        <f t="shared" si="18"/>
        <v>52110</v>
      </c>
      <c r="C211" s="12">
        <f t="shared" si="19"/>
        <v>189115.31726126588</v>
      </c>
      <c r="D211" s="13">
        <f t="shared" si="20"/>
        <v>1072.4856461539562</v>
      </c>
      <c r="E211" s="13">
        <f t="shared" si="21"/>
        <v>678.49540185965225</v>
      </c>
      <c r="F211" s="13">
        <f t="shared" si="22"/>
        <v>393.99024429430392</v>
      </c>
      <c r="G211" s="12">
        <f t="shared" si="23"/>
        <v>188436.82185940622</v>
      </c>
    </row>
    <row r="212" spans="2:7" x14ac:dyDescent="0.3">
      <c r="B212" s="11">
        <f t="shared" si="18"/>
        <v>52140</v>
      </c>
      <c r="C212" s="12">
        <f t="shared" si="19"/>
        <v>188436.82185940622</v>
      </c>
      <c r="D212" s="13">
        <f t="shared" si="20"/>
        <v>1072.4856461539562</v>
      </c>
      <c r="E212" s="13">
        <f t="shared" si="21"/>
        <v>679.90893394685986</v>
      </c>
      <c r="F212" s="13">
        <f t="shared" si="22"/>
        <v>392.57671220709631</v>
      </c>
      <c r="G212" s="12">
        <f t="shared" si="23"/>
        <v>187756.91292545936</v>
      </c>
    </row>
    <row r="213" spans="2:7" x14ac:dyDescent="0.3">
      <c r="B213" s="11">
        <f t="shared" si="18"/>
        <v>52171</v>
      </c>
      <c r="C213" s="12">
        <f t="shared" si="19"/>
        <v>187756.91292545936</v>
      </c>
      <c r="D213" s="13">
        <f t="shared" si="20"/>
        <v>1072.4856461539562</v>
      </c>
      <c r="E213" s="13">
        <f t="shared" si="21"/>
        <v>681.32541089258257</v>
      </c>
      <c r="F213" s="13">
        <f t="shared" si="22"/>
        <v>391.16023526137366</v>
      </c>
      <c r="G213" s="12">
        <f t="shared" si="23"/>
        <v>187075.58751456678</v>
      </c>
    </row>
    <row r="214" spans="2:7" x14ac:dyDescent="0.3">
      <c r="B214" s="11">
        <f t="shared" si="18"/>
        <v>52201</v>
      </c>
      <c r="C214" s="12">
        <f t="shared" si="19"/>
        <v>187075.58751456678</v>
      </c>
      <c r="D214" s="13">
        <f t="shared" si="20"/>
        <v>1072.4856461539562</v>
      </c>
      <c r="E214" s="13">
        <f t="shared" si="21"/>
        <v>682.74483883194205</v>
      </c>
      <c r="F214" s="13">
        <f t="shared" si="22"/>
        <v>389.74080732201412</v>
      </c>
      <c r="G214" s="12">
        <f t="shared" si="23"/>
        <v>186392.84267573484</v>
      </c>
    </row>
    <row r="215" spans="2:7" x14ac:dyDescent="0.3">
      <c r="B215" s="11">
        <f t="shared" si="18"/>
        <v>52232</v>
      </c>
      <c r="C215" s="12">
        <f t="shared" si="19"/>
        <v>186392.84267573484</v>
      </c>
      <c r="D215" s="13">
        <f t="shared" si="20"/>
        <v>1072.4856461539562</v>
      </c>
      <c r="E215" s="13">
        <f t="shared" si="21"/>
        <v>684.16722391284191</v>
      </c>
      <c r="F215" s="13">
        <f t="shared" si="22"/>
        <v>388.31842224111426</v>
      </c>
      <c r="G215" s="12">
        <f t="shared" si="23"/>
        <v>185708.675451822</v>
      </c>
    </row>
    <row r="216" spans="2:7" x14ac:dyDescent="0.3">
      <c r="B216" s="11">
        <f t="shared" si="18"/>
        <v>52263</v>
      </c>
      <c r="C216" s="12">
        <f t="shared" si="19"/>
        <v>185708.675451822</v>
      </c>
      <c r="D216" s="13">
        <f t="shared" si="20"/>
        <v>1072.4856461539562</v>
      </c>
      <c r="E216" s="13">
        <f t="shared" si="21"/>
        <v>685.5925722959937</v>
      </c>
      <c r="F216" s="13">
        <f t="shared" si="22"/>
        <v>386.89307385796246</v>
      </c>
      <c r="G216" s="12">
        <f t="shared" si="23"/>
        <v>185023.08287952602</v>
      </c>
    </row>
    <row r="217" spans="2:7" x14ac:dyDescent="0.3">
      <c r="B217" s="11">
        <f t="shared" si="18"/>
        <v>52291</v>
      </c>
      <c r="C217" s="12">
        <f t="shared" si="19"/>
        <v>185023.08287952602</v>
      </c>
      <c r="D217" s="13">
        <f t="shared" si="20"/>
        <v>1072.4856461539562</v>
      </c>
      <c r="E217" s="13">
        <f t="shared" si="21"/>
        <v>687.02089015494357</v>
      </c>
      <c r="F217" s="13">
        <f t="shared" si="22"/>
        <v>385.46475599901254</v>
      </c>
      <c r="G217" s="12">
        <f t="shared" si="23"/>
        <v>184336.06198937108</v>
      </c>
    </row>
    <row r="218" spans="2:7" x14ac:dyDescent="0.3">
      <c r="B218" s="11">
        <f t="shared" si="18"/>
        <v>52322</v>
      </c>
      <c r="C218" s="12">
        <f t="shared" si="19"/>
        <v>184336.06198937108</v>
      </c>
      <c r="D218" s="13">
        <f t="shared" si="20"/>
        <v>1072.4856461539562</v>
      </c>
      <c r="E218" s="13">
        <f t="shared" si="21"/>
        <v>688.45218367609982</v>
      </c>
      <c r="F218" s="13">
        <f t="shared" si="22"/>
        <v>384.0334624778564</v>
      </c>
      <c r="G218" s="12">
        <f t="shared" si="23"/>
        <v>183647.60980569498</v>
      </c>
    </row>
    <row r="219" spans="2:7" x14ac:dyDescent="0.3">
      <c r="B219" s="11">
        <f t="shared" si="18"/>
        <v>52352</v>
      </c>
      <c r="C219" s="12">
        <f t="shared" si="19"/>
        <v>183647.60980569498</v>
      </c>
      <c r="D219" s="13">
        <f t="shared" si="20"/>
        <v>1072.4856461539562</v>
      </c>
      <c r="E219" s="13">
        <f t="shared" si="21"/>
        <v>689.88645905875831</v>
      </c>
      <c r="F219" s="13">
        <f t="shared" si="22"/>
        <v>382.59918709519786</v>
      </c>
      <c r="G219" s="12">
        <f t="shared" si="23"/>
        <v>182957.72334663622</v>
      </c>
    </row>
    <row r="220" spans="2:7" x14ac:dyDescent="0.3">
      <c r="B220" s="11">
        <f t="shared" si="18"/>
        <v>52383</v>
      </c>
      <c r="C220" s="12">
        <f t="shared" si="19"/>
        <v>182957.72334663622</v>
      </c>
      <c r="D220" s="13">
        <f t="shared" si="20"/>
        <v>1072.4856461539562</v>
      </c>
      <c r="E220" s="13">
        <f t="shared" si="21"/>
        <v>691.32372251513073</v>
      </c>
      <c r="F220" s="13">
        <f t="shared" si="22"/>
        <v>381.16192363882544</v>
      </c>
      <c r="G220" s="12">
        <f t="shared" si="23"/>
        <v>182266.39962412108</v>
      </c>
    </row>
    <row r="221" spans="2:7" x14ac:dyDescent="0.3">
      <c r="B221" s="11">
        <f t="shared" si="18"/>
        <v>52413</v>
      </c>
      <c r="C221" s="12">
        <f t="shared" si="19"/>
        <v>182266.39962412108</v>
      </c>
      <c r="D221" s="13">
        <f t="shared" si="20"/>
        <v>1072.4856461539562</v>
      </c>
      <c r="E221" s="13">
        <f t="shared" si="21"/>
        <v>692.76398027037055</v>
      </c>
      <c r="F221" s="13">
        <f t="shared" si="22"/>
        <v>379.72166588358562</v>
      </c>
      <c r="G221" s="12">
        <f t="shared" si="23"/>
        <v>181573.63564385072</v>
      </c>
    </row>
    <row r="222" spans="2:7" x14ac:dyDescent="0.3">
      <c r="B222" s="11">
        <f t="shared" si="18"/>
        <v>52444</v>
      </c>
      <c r="C222" s="12">
        <f t="shared" si="19"/>
        <v>181573.63564385072</v>
      </c>
      <c r="D222" s="13">
        <f t="shared" si="20"/>
        <v>1072.4856461539562</v>
      </c>
      <c r="E222" s="13">
        <f t="shared" si="21"/>
        <v>694.20723856260042</v>
      </c>
      <c r="F222" s="13">
        <f t="shared" si="22"/>
        <v>378.27840759135569</v>
      </c>
      <c r="G222" s="12">
        <f t="shared" si="23"/>
        <v>180879.42840528811</v>
      </c>
    </row>
    <row r="223" spans="2:7" x14ac:dyDescent="0.3">
      <c r="B223" s="11">
        <f t="shared" si="18"/>
        <v>52475</v>
      </c>
      <c r="C223" s="12">
        <f t="shared" si="19"/>
        <v>180879.42840528811</v>
      </c>
      <c r="D223" s="13">
        <f t="shared" si="20"/>
        <v>1072.4856461539562</v>
      </c>
      <c r="E223" s="13">
        <f t="shared" si="21"/>
        <v>695.65350364293931</v>
      </c>
      <c r="F223" s="13">
        <f t="shared" si="22"/>
        <v>376.83214251101691</v>
      </c>
      <c r="G223" s="12">
        <f t="shared" si="23"/>
        <v>180183.77490164517</v>
      </c>
    </row>
    <row r="224" spans="2:7" x14ac:dyDescent="0.3">
      <c r="B224" s="11">
        <f t="shared" si="18"/>
        <v>52505</v>
      </c>
      <c r="C224" s="12">
        <f t="shared" si="19"/>
        <v>180183.77490164517</v>
      </c>
      <c r="D224" s="13">
        <f t="shared" si="20"/>
        <v>1072.4856461539562</v>
      </c>
      <c r="E224" s="13">
        <f t="shared" si="21"/>
        <v>697.10278177552868</v>
      </c>
      <c r="F224" s="13">
        <f t="shared" si="22"/>
        <v>375.38286437842743</v>
      </c>
      <c r="G224" s="12">
        <f t="shared" si="23"/>
        <v>179486.67211986965</v>
      </c>
    </row>
    <row r="225" spans="2:7" x14ac:dyDescent="0.3">
      <c r="B225" s="11">
        <f t="shared" si="18"/>
        <v>52536</v>
      </c>
      <c r="C225" s="12">
        <f t="shared" si="19"/>
        <v>179486.67211986965</v>
      </c>
      <c r="D225" s="13">
        <f t="shared" si="20"/>
        <v>1072.4856461539562</v>
      </c>
      <c r="E225" s="13">
        <f t="shared" si="21"/>
        <v>698.55507923756113</v>
      </c>
      <c r="F225" s="13">
        <f t="shared" si="22"/>
        <v>373.93056691639509</v>
      </c>
      <c r="G225" s="12">
        <f t="shared" si="23"/>
        <v>178788.11704063209</v>
      </c>
    </row>
    <row r="226" spans="2:7" x14ac:dyDescent="0.3">
      <c r="B226" s="11">
        <f t="shared" si="18"/>
        <v>52566</v>
      </c>
      <c r="C226" s="12">
        <f t="shared" si="19"/>
        <v>178788.11704063209</v>
      </c>
      <c r="D226" s="13">
        <f t="shared" si="20"/>
        <v>1072.4856461539562</v>
      </c>
      <c r="E226" s="13">
        <f t="shared" si="21"/>
        <v>700.01040231930597</v>
      </c>
      <c r="F226" s="13">
        <f t="shared" si="22"/>
        <v>372.4752438346502</v>
      </c>
      <c r="G226" s="12">
        <f t="shared" si="23"/>
        <v>178088.10663831278</v>
      </c>
    </row>
    <row r="227" spans="2:7" x14ac:dyDescent="0.3">
      <c r="B227" s="11">
        <f t="shared" si="18"/>
        <v>52597</v>
      </c>
      <c r="C227" s="12">
        <f t="shared" si="19"/>
        <v>178088.10663831278</v>
      </c>
      <c r="D227" s="13">
        <f t="shared" si="20"/>
        <v>1072.4856461539562</v>
      </c>
      <c r="E227" s="13">
        <f t="shared" si="21"/>
        <v>701.46875732413787</v>
      </c>
      <c r="F227" s="13">
        <f t="shared" si="22"/>
        <v>371.0168888298183</v>
      </c>
      <c r="G227" s="12">
        <f t="shared" si="23"/>
        <v>177386.63788098865</v>
      </c>
    </row>
    <row r="228" spans="2:7" x14ac:dyDescent="0.3">
      <c r="B228" s="11">
        <f t="shared" si="18"/>
        <v>52628</v>
      </c>
      <c r="C228" s="12">
        <f t="shared" si="19"/>
        <v>177386.63788098865</v>
      </c>
      <c r="D228" s="13">
        <f t="shared" si="20"/>
        <v>1072.4856461539562</v>
      </c>
      <c r="E228" s="13">
        <f t="shared" si="21"/>
        <v>702.93015056856314</v>
      </c>
      <c r="F228" s="13">
        <f t="shared" si="22"/>
        <v>369.55549558539303</v>
      </c>
      <c r="G228" s="12">
        <f t="shared" si="23"/>
        <v>176683.70773042008</v>
      </c>
    </row>
    <row r="229" spans="2:7" x14ac:dyDescent="0.3">
      <c r="B229" s="11">
        <f t="shared" si="18"/>
        <v>52657</v>
      </c>
      <c r="C229" s="12">
        <f t="shared" si="19"/>
        <v>176683.70773042008</v>
      </c>
      <c r="D229" s="13">
        <f t="shared" si="20"/>
        <v>1072.4856461539562</v>
      </c>
      <c r="E229" s="13">
        <f t="shared" si="21"/>
        <v>704.39458838224766</v>
      </c>
      <c r="F229" s="13">
        <f t="shared" si="22"/>
        <v>368.09105777170851</v>
      </c>
      <c r="G229" s="12">
        <f t="shared" si="23"/>
        <v>175979.31314203783</v>
      </c>
    </row>
    <row r="230" spans="2:7" x14ac:dyDescent="0.3">
      <c r="B230" s="11">
        <f t="shared" si="18"/>
        <v>52688</v>
      </c>
      <c r="C230" s="12">
        <f t="shared" si="19"/>
        <v>175979.31314203783</v>
      </c>
      <c r="D230" s="13">
        <f t="shared" si="20"/>
        <v>1072.4856461539562</v>
      </c>
      <c r="E230" s="13">
        <f t="shared" si="21"/>
        <v>705.86207710804399</v>
      </c>
      <c r="F230" s="13">
        <f t="shared" si="22"/>
        <v>366.62356904591218</v>
      </c>
      <c r="G230" s="12">
        <f t="shared" si="23"/>
        <v>175273.4510649298</v>
      </c>
    </row>
    <row r="231" spans="2:7" x14ac:dyDescent="0.3">
      <c r="B231" s="11">
        <f t="shared" si="18"/>
        <v>52718</v>
      </c>
      <c r="C231" s="12">
        <f t="shared" si="19"/>
        <v>175273.4510649298</v>
      </c>
      <c r="D231" s="13">
        <f t="shared" si="20"/>
        <v>1072.4856461539562</v>
      </c>
      <c r="E231" s="13">
        <f t="shared" si="21"/>
        <v>707.33262310201906</v>
      </c>
      <c r="F231" s="13">
        <f t="shared" si="22"/>
        <v>365.15302305193711</v>
      </c>
      <c r="G231" s="12">
        <f t="shared" si="23"/>
        <v>174566.11844182777</v>
      </c>
    </row>
    <row r="232" spans="2:7" x14ac:dyDescent="0.3">
      <c r="B232" s="11">
        <f t="shared" si="18"/>
        <v>52749</v>
      </c>
      <c r="C232" s="12">
        <f t="shared" si="19"/>
        <v>174566.11844182777</v>
      </c>
      <c r="D232" s="13">
        <f t="shared" si="20"/>
        <v>1072.4856461539562</v>
      </c>
      <c r="E232" s="13">
        <f t="shared" si="21"/>
        <v>708.80623273348169</v>
      </c>
      <c r="F232" s="13">
        <f t="shared" si="22"/>
        <v>363.67941342047453</v>
      </c>
      <c r="G232" s="12">
        <f t="shared" si="23"/>
        <v>173857.31220909429</v>
      </c>
    </row>
    <row r="233" spans="2:7" x14ac:dyDescent="0.3">
      <c r="B233" s="11">
        <f t="shared" si="18"/>
        <v>52779</v>
      </c>
      <c r="C233" s="12">
        <f t="shared" si="19"/>
        <v>173857.31220909429</v>
      </c>
      <c r="D233" s="13">
        <f t="shared" si="20"/>
        <v>1072.4856461539562</v>
      </c>
      <c r="E233" s="13">
        <f t="shared" si="21"/>
        <v>710.28291238500969</v>
      </c>
      <c r="F233" s="13">
        <f t="shared" si="22"/>
        <v>362.20273376894642</v>
      </c>
      <c r="G233" s="12">
        <f t="shared" si="23"/>
        <v>173147.02929670928</v>
      </c>
    </row>
    <row r="234" spans="2:7" x14ac:dyDescent="0.3">
      <c r="B234" s="11">
        <f t="shared" si="18"/>
        <v>52810</v>
      </c>
      <c r="C234" s="12">
        <f t="shared" si="19"/>
        <v>173147.02929670928</v>
      </c>
      <c r="D234" s="13">
        <f t="shared" si="20"/>
        <v>1072.4856461539562</v>
      </c>
      <c r="E234" s="13">
        <f t="shared" si="21"/>
        <v>711.76266845247847</v>
      </c>
      <c r="F234" s="13">
        <f t="shared" si="22"/>
        <v>360.72297770147765</v>
      </c>
      <c r="G234" s="12">
        <f t="shared" si="23"/>
        <v>172435.2666282568</v>
      </c>
    </row>
    <row r="235" spans="2:7" x14ac:dyDescent="0.3">
      <c r="B235" s="11">
        <f t="shared" si="18"/>
        <v>52841</v>
      </c>
      <c r="C235" s="12">
        <f t="shared" si="19"/>
        <v>172435.2666282568</v>
      </c>
      <c r="D235" s="13">
        <f t="shared" si="20"/>
        <v>1072.4856461539562</v>
      </c>
      <c r="E235" s="13">
        <f t="shared" si="21"/>
        <v>713.24550734508784</v>
      </c>
      <c r="F235" s="13">
        <f t="shared" si="22"/>
        <v>359.24013880886832</v>
      </c>
      <c r="G235" s="12">
        <f t="shared" si="23"/>
        <v>171722.0211209117</v>
      </c>
    </row>
    <row r="236" spans="2:7" x14ac:dyDescent="0.3">
      <c r="B236" s="11">
        <f t="shared" si="18"/>
        <v>52871</v>
      </c>
      <c r="C236" s="12">
        <f t="shared" si="19"/>
        <v>171722.0211209117</v>
      </c>
      <c r="D236" s="13">
        <f t="shared" si="20"/>
        <v>1072.4856461539562</v>
      </c>
      <c r="E236" s="13">
        <f t="shared" si="21"/>
        <v>714.73143548539019</v>
      </c>
      <c r="F236" s="13">
        <f t="shared" si="22"/>
        <v>357.75421066856603</v>
      </c>
      <c r="G236" s="12">
        <f t="shared" si="23"/>
        <v>171007.28968542631</v>
      </c>
    </row>
    <row r="237" spans="2:7" x14ac:dyDescent="0.3">
      <c r="B237" s="11">
        <f t="shared" si="18"/>
        <v>52902</v>
      </c>
      <c r="C237" s="12">
        <f t="shared" si="19"/>
        <v>171007.28968542631</v>
      </c>
      <c r="D237" s="13">
        <f t="shared" si="20"/>
        <v>1072.4856461539562</v>
      </c>
      <c r="E237" s="13">
        <f t="shared" si="21"/>
        <v>716.22045930931802</v>
      </c>
      <c r="F237" s="13">
        <f t="shared" si="22"/>
        <v>356.26518684463815</v>
      </c>
      <c r="G237" s="12">
        <f t="shared" si="23"/>
        <v>170291.06922611699</v>
      </c>
    </row>
    <row r="238" spans="2:7" x14ac:dyDescent="0.3">
      <c r="B238" s="11">
        <f t="shared" si="18"/>
        <v>52932</v>
      </c>
      <c r="C238" s="12">
        <f t="shared" si="19"/>
        <v>170291.06922611699</v>
      </c>
      <c r="D238" s="13">
        <f t="shared" si="20"/>
        <v>1072.4856461539562</v>
      </c>
      <c r="E238" s="13">
        <f t="shared" si="21"/>
        <v>717.7125852662125</v>
      </c>
      <c r="F238" s="13">
        <f t="shared" si="22"/>
        <v>354.77306088774372</v>
      </c>
      <c r="G238" s="12">
        <f t="shared" si="23"/>
        <v>169573.35664085078</v>
      </c>
    </row>
    <row r="239" spans="2:7" x14ac:dyDescent="0.3">
      <c r="B239" s="11">
        <f t="shared" si="18"/>
        <v>52963</v>
      </c>
      <c r="C239" s="12">
        <f t="shared" si="19"/>
        <v>169573.35664085078</v>
      </c>
      <c r="D239" s="13">
        <f t="shared" si="20"/>
        <v>1072.4856461539562</v>
      </c>
      <c r="E239" s="13">
        <f t="shared" si="21"/>
        <v>719.20781981885034</v>
      </c>
      <c r="F239" s="13">
        <f t="shared" si="22"/>
        <v>353.27782633510577</v>
      </c>
      <c r="G239" s="12">
        <f t="shared" si="23"/>
        <v>168854.14882103194</v>
      </c>
    </row>
    <row r="240" spans="2:7" x14ac:dyDescent="0.3">
      <c r="B240" s="11">
        <f t="shared" si="18"/>
        <v>52994</v>
      </c>
      <c r="C240" s="12">
        <f t="shared" si="19"/>
        <v>168854.14882103194</v>
      </c>
      <c r="D240" s="13">
        <f t="shared" si="20"/>
        <v>1072.4856461539562</v>
      </c>
      <c r="E240" s="13">
        <f t="shared" si="21"/>
        <v>720.70616944347296</v>
      </c>
      <c r="F240" s="13">
        <f t="shared" si="22"/>
        <v>351.77947671048321</v>
      </c>
      <c r="G240" s="12">
        <f t="shared" si="23"/>
        <v>168133.44265158847</v>
      </c>
    </row>
    <row r="241" spans="2:7" x14ac:dyDescent="0.3">
      <c r="B241" s="11">
        <f t="shared" si="18"/>
        <v>53022</v>
      </c>
      <c r="C241" s="12">
        <f t="shared" si="19"/>
        <v>168133.44265158847</v>
      </c>
      <c r="D241" s="13">
        <f t="shared" si="20"/>
        <v>1072.4856461539562</v>
      </c>
      <c r="E241" s="13">
        <f t="shared" si="21"/>
        <v>722.20764062981357</v>
      </c>
      <c r="F241" s="13">
        <f t="shared" si="22"/>
        <v>350.27800552414266</v>
      </c>
      <c r="G241" s="12">
        <f t="shared" si="23"/>
        <v>167411.23501095866</v>
      </c>
    </row>
    <row r="242" spans="2:7" x14ac:dyDescent="0.3">
      <c r="B242" s="11">
        <f t="shared" si="18"/>
        <v>53053</v>
      </c>
      <c r="C242" s="12">
        <f t="shared" si="19"/>
        <v>167411.23501095866</v>
      </c>
      <c r="D242" s="13">
        <f t="shared" si="20"/>
        <v>1072.4856461539562</v>
      </c>
      <c r="E242" s="13">
        <f t="shared" si="21"/>
        <v>723.7122398811257</v>
      </c>
      <c r="F242" s="13">
        <f t="shared" si="22"/>
        <v>348.77340627283053</v>
      </c>
      <c r="G242" s="12">
        <f t="shared" si="23"/>
        <v>166687.52277107752</v>
      </c>
    </row>
    <row r="243" spans="2:7" x14ac:dyDescent="0.3">
      <c r="B243" s="11">
        <f t="shared" si="18"/>
        <v>53083</v>
      </c>
      <c r="C243" s="12">
        <f t="shared" si="19"/>
        <v>166687.52277107752</v>
      </c>
      <c r="D243" s="13">
        <f t="shared" si="20"/>
        <v>1072.4856461539562</v>
      </c>
      <c r="E243" s="13">
        <f t="shared" si="21"/>
        <v>725.21997371421139</v>
      </c>
      <c r="F243" s="13">
        <f t="shared" si="22"/>
        <v>347.26567243974483</v>
      </c>
      <c r="G243" s="12">
        <f t="shared" si="23"/>
        <v>165962.30279736331</v>
      </c>
    </row>
    <row r="244" spans="2:7" x14ac:dyDescent="0.3">
      <c r="B244" s="11">
        <f t="shared" si="18"/>
        <v>53114</v>
      </c>
      <c r="C244" s="12">
        <f t="shared" si="19"/>
        <v>165962.30279736331</v>
      </c>
      <c r="D244" s="13">
        <f t="shared" si="20"/>
        <v>1072.4856461539562</v>
      </c>
      <c r="E244" s="13">
        <f t="shared" si="21"/>
        <v>726.73084865944929</v>
      </c>
      <c r="F244" s="13">
        <f t="shared" si="22"/>
        <v>345.75479749450687</v>
      </c>
      <c r="G244" s="12">
        <f t="shared" si="23"/>
        <v>165235.57194870387</v>
      </c>
    </row>
    <row r="245" spans="2:7" x14ac:dyDescent="0.3">
      <c r="B245" s="11">
        <f t="shared" si="18"/>
        <v>53144</v>
      </c>
      <c r="C245" s="12">
        <f t="shared" si="19"/>
        <v>165235.57194870387</v>
      </c>
      <c r="D245" s="13">
        <f t="shared" si="20"/>
        <v>1072.4856461539562</v>
      </c>
      <c r="E245" s="13">
        <f t="shared" si="21"/>
        <v>728.24487126082317</v>
      </c>
      <c r="F245" s="13">
        <f t="shared" si="22"/>
        <v>344.24077489313305</v>
      </c>
      <c r="G245" s="12">
        <f t="shared" si="23"/>
        <v>164507.32707744304</v>
      </c>
    </row>
    <row r="246" spans="2:7" x14ac:dyDescent="0.3">
      <c r="B246" s="11">
        <f t="shared" si="18"/>
        <v>53175</v>
      </c>
      <c r="C246" s="12">
        <f t="shared" si="19"/>
        <v>164507.32707744304</v>
      </c>
      <c r="D246" s="13">
        <f t="shared" si="20"/>
        <v>1072.4856461539562</v>
      </c>
      <c r="E246" s="13">
        <f t="shared" si="21"/>
        <v>729.76204807594991</v>
      </c>
      <c r="F246" s="13">
        <f t="shared" si="22"/>
        <v>342.72359807800632</v>
      </c>
      <c r="G246" s="12">
        <f t="shared" si="23"/>
        <v>163777.56502936711</v>
      </c>
    </row>
    <row r="247" spans="2:7" x14ac:dyDescent="0.3">
      <c r="B247" s="11">
        <f t="shared" si="18"/>
        <v>53206</v>
      </c>
      <c r="C247" s="12">
        <f t="shared" si="19"/>
        <v>163777.56502936711</v>
      </c>
      <c r="D247" s="13">
        <f t="shared" si="20"/>
        <v>1072.4856461539562</v>
      </c>
      <c r="E247" s="13">
        <f t="shared" si="21"/>
        <v>731.28238567610811</v>
      </c>
      <c r="F247" s="13">
        <f t="shared" si="22"/>
        <v>341.20326047784812</v>
      </c>
      <c r="G247" s="12">
        <f t="shared" si="23"/>
        <v>163046.282643691</v>
      </c>
    </row>
    <row r="248" spans="2:7" x14ac:dyDescent="0.3">
      <c r="B248" s="11">
        <f t="shared" si="18"/>
        <v>53236</v>
      </c>
      <c r="C248" s="12">
        <f t="shared" si="19"/>
        <v>163046.282643691</v>
      </c>
      <c r="D248" s="13">
        <f t="shared" si="20"/>
        <v>1072.4856461539562</v>
      </c>
      <c r="E248" s="13">
        <f t="shared" si="21"/>
        <v>732.80589064626656</v>
      </c>
      <c r="F248" s="13">
        <f t="shared" si="22"/>
        <v>339.67975550768955</v>
      </c>
      <c r="G248" s="12">
        <f t="shared" si="23"/>
        <v>162313.47675304473</v>
      </c>
    </row>
    <row r="249" spans="2:7" x14ac:dyDescent="0.3">
      <c r="B249" s="11">
        <f t="shared" si="18"/>
        <v>53267</v>
      </c>
      <c r="C249" s="12">
        <f t="shared" si="19"/>
        <v>162313.47675304473</v>
      </c>
      <c r="D249" s="13">
        <f t="shared" si="20"/>
        <v>1072.4856461539562</v>
      </c>
      <c r="E249" s="13">
        <f t="shared" si="21"/>
        <v>734.33256958511299</v>
      </c>
      <c r="F249" s="13">
        <f t="shared" si="22"/>
        <v>338.15307656884318</v>
      </c>
      <c r="G249" s="12">
        <f t="shared" si="23"/>
        <v>161579.1441834596</v>
      </c>
    </row>
    <row r="250" spans="2:7" x14ac:dyDescent="0.3">
      <c r="B250" s="11">
        <f t="shared" si="18"/>
        <v>53297</v>
      </c>
      <c r="C250" s="12">
        <f t="shared" si="19"/>
        <v>161579.1441834596</v>
      </c>
      <c r="D250" s="13">
        <f t="shared" si="20"/>
        <v>1072.4856461539562</v>
      </c>
      <c r="E250" s="13">
        <f t="shared" si="21"/>
        <v>735.86242910508201</v>
      </c>
      <c r="F250" s="13">
        <f t="shared" si="22"/>
        <v>336.62321704887415</v>
      </c>
      <c r="G250" s="12">
        <f t="shared" si="23"/>
        <v>160843.28175435451</v>
      </c>
    </row>
    <row r="251" spans="2:7" x14ac:dyDescent="0.3">
      <c r="B251" s="11">
        <f t="shared" si="18"/>
        <v>53328</v>
      </c>
      <c r="C251" s="12">
        <f t="shared" si="19"/>
        <v>160843.28175435451</v>
      </c>
      <c r="D251" s="13">
        <f t="shared" si="20"/>
        <v>1072.4856461539562</v>
      </c>
      <c r="E251" s="13">
        <f t="shared" si="21"/>
        <v>737.39547583238425</v>
      </c>
      <c r="F251" s="13">
        <f t="shared" si="22"/>
        <v>335.09017032157192</v>
      </c>
      <c r="G251" s="12">
        <f t="shared" si="23"/>
        <v>160105.88627852211</v>
      </c>
    </row>
    <row r="252" spans="2:7" x14ac:dyDescent="0.3">
      <c r="B252" s="11">
        <f t="shared" si="18"/>
        <v>53359</v>
      </c>
      <c r="C252" s="12">
        <f t="shared" si="19"/>
        <v>160105.88627852211</v>
      </c>
      <c r="D252" s="13">
        <f t="shared" si="20"/>
        <v>1072.4856461539562</v>
      </c>
      <c r="E252" s="13">
        <f t="shared" si="21"/>
        <v>738.93171640703508</v>
      </c>
      <c r="F252" s="13">
        <f t="shared" si="22"/>
        <v>333.55392974692109</v>
      </c>
      <c r="G252" s="12">
        <f t="shared" si="23"/>
        <v>159366.95456211508</v>
      </c>
    </row>
    <row r="253" spans="2:7" x14ac:dyDescent="0.3">
      <c r="B253" s="11">
        <f t="shared" si="18"/>
        <v>53387</v>
      </c>
      <c r="C253" s="12">
        <f t="shared" si="19"/>
        <v>159366.95456211508</v>
      </c>
      <c r="D253" s="13">
        <f t="shared" si="20"/>
        <v>1072.4856461539562</v>
      </c>
      <c r="E253" s="13">
        <f t="shared" si="21"/>
        <v>740.47115748288309</v>
      </c>
      <c r="F253" s="13">
        <f t="shared" si="22"/>
        <v>332.01448867107308</v>
      </c>
      <c r="G253" s="12">
        <f t="shared" si="23"/>
        <v>158626.48340463219</v>
      </c>
    </row>
    <row r="254" spans="2:7" x14ac:dyDescent="0.3">
      <c r="B254" s="11">
        <f t="shared" si="18"/>
        <v>53418</v>
      </c>
      <c r="C254" s="12">
        <f t="shared" si="19"/>
        <v>158626.48340463219</v>
      </c>
      <c r="D254" s="13">
        <f t="shared" si="20"/>
        <v>1072.4856461539562</v>
      </c>
      <c r="E254" s="13">
        <f t="shared" si="21"/>
        <v>742.01380572763912</v>
      </c>
      <c r="F254" s="13">
        <f t="shared" si="22"/>
        <v>330.47184042631704</v>
      </c>
      <c r="G254" s="12">
        <f t="shared" si="23"/>
        <v>157884.46959890454</v>
      </c>
    </row>
    <row r="255" spans="2:7" x14ac:dyDescent="0.3">
      <c r="B255" s="11">
        <f t="shared" si="18"/>
        <v>53448</v>
      </c>
      <c r="C255" s="12">
        <f t="shared" si="19"/>
        <v>157884.46959890454</v>
      </c>
      <c r="D255" s="13">
        <f t="shared" si="20"/>
        <v>1072.4856461539562</v>
      </c>
      <c r="E255" s="13">
        <f t="shared" si="21"/>
        <v>743.55966782290511</v>
      </c>
      <c r="F255" s="13">
        <f t="shared" si="22"/>
        <v>328.92597833105111</v>
      </c>
      <c r="G255" s="12">
        <f t="shared" si="23"/>
        <v>157140.90993108164</v>
      </c>
    </row>
    <row r="256" spans="2:7" x14ac:dyDescent="0.3">
      <c r="B256" s="11">
        <f t="shared" si="18"/>
        <v>53479</v>
      </c>
      <c r="C256" s="12">
        <f t="shared" si="19"/>
        <v>157140.90993108164</v>
      </c>
      <c r="D256" s="13">
        <f t="shared" si="20"/>
        <v>1072.4856461539562</v>
      </c>
      <c r="E256" s="13">
        <f t="shared" si="21"/>
        <v>745.10875046420279</v>
      </c>
      <c r="F256" s="13">
        <f t="shared" si="22"/>
        <v>327.37689568975338</v>
      </c>
      <c r="G256" s="12">
        <f t="shared" si="23"/>
        <v>156395.80118061745</v>
      </c>
    </row>
    <row r="257" spans="2:7" x14ac:dyDescent="0.3">
      <c r="B257" s="11">
        <f t="shared" si="18"/>
        <v>53509</v>
      </c>
      <c r="C257" s="12">
        <f t="shared" si="19"/>
        <v>156395.80118061745</v>
      </c>
      <c r="D257" s="13">
        <f t="shared" si="20"/>
        <v>1072.4856461539562</v>
      </c>
      <c r="E257" s="13">
        <f t="shared" si="21"/>
        <v>746.66106036100314</v>
      </c>
      <c r="F257" s="13">
        <f t="shared" si="22"/>
        <v>325.82458579295303</v>
      </c>
      <c r="G257" s="12">
        <f t="shared" si="23"/>
        <v>155649.14012025643</v>
      </c>
    </row>
    <row r="258" spans="2:7" x14ac:dyDescent="0.3">
      <c r="B258" s="11">
        <f t="shared" si="18"/>
        <v>53540</v>
      </c>
      <c r="C258" s="12">
        <f t="shared" si="19"/>
        <v>155649.14012025643</v>
      </c>
      <c r="D258" s="13">
        <f t="shared" si="20"/>
        <v>1072.4856461539562</v>
      </c>
      <c r="E258" s="13">
        <f t="shared" si="21"/>
        <v>748.2166042367553</v>
      </c>
      <c r="F258" s="13">
        <f t="shared" si="22"/>
        <v>324.26904191720087</v>
      </c>
      <c r="G258" s="12">
        <f t="shared" si="23"/>
        <v>154900.92351601968</v>
      </c>
    </row>
    <row r="259" spans="2:7" x14ac:dyDescent="0.3">
      <c r="B259" s="11">
        <f t="shared" si="18"/>
        <v>53571</v>
      </c>
      <c r="C259" s="12">
        <f t="shared" si="19"/>
        <v>154900.92351601968</v>
      </c>
      <c r="D259" s="13">
        <f t="shared" si="20"/>
        <v>1072.4856461539562</v>
      </c>
      <c r="E259" s="13">
        <f t="shared" si="21"/>
        <v>749.77538882891508</v>
      </c>
      <c r="F259" s="13">
        <f t="shared" si="22"/>
        <v>322.71025732504103</v>
      </c>
      <c r="G259" s="12">
        <f t="shared" si="23"/>
        <v>154151.14812719077</v>
      </c>
    </row>
    <row r="260" spans="2:7" x14ac:dyDescent="0.3">
      <c r="B260" s="11">
        <f t="shared" si="18"/>
        <v>53601</v>
      </c>
      <c r="C260" s="12">
        <f t="shared" si="19"/>
        <v>154151.14812719077</v>
      </c>
      <c r="D260" s="13">
        <f t="shared" si="20"/>
        <v>1072.4856461539562</v>
      </c>
      <c r="E260" s="13">
        <f t="shared" si="21"/>
        <v>751.33742088897543</v>
      </c>
      <c r="F260" s="13">
        <f t="shared" si="22"/>
        <v>321.14822526498074</v>
      </c>
      <c r="G260" s="12">
        <f t="shared" si="23"/>
        <v>153399.8107063018</v>
      </c>
    </row>
    <row r="261" spans="2:7" x14ac:dyDescent="0.3">
      <c r="B261" s="11">
        <f t="shared" si="18"/>
        <v>53632</v>
      </c>
      <c r="C261" s="12">
        <f t="shared" si="19"/>
        <v>153399.8107063018</v>
      </c>
      <c r="D261" s="13">
        <f t="shared" si="20"/>
        <v>1072.4856461539562</v>
      </c>
      <c r="E261" s="13">
        <f t="shared" si="21"/>
        <v>752.90270718249417</v>
      </c>
      <c r="F261" s="13">
        <f t="shared" si="22"/>
        <v>319.58293897146206</v>
      </c>
      <c r="G261" s="12">
        <f t="shared" si="23"/>
        <v>152646.90799911931</v>
      </c>
    </row>
    <row r="262" spans="2:7" x14ac:dyDescent="0.3">
      <c r="B262" s="11">
        <f t="shared" si="18"/>
        <v>53662</v>
      </c>
      <c r="C262" s="12">
        <f t="shared" si="19"/>
        <v>152646.90799911931</v>
      </c>
      <c r="D262" s="13">
        <f t="shared" si="20"/>
        <v>1072.4856461539562</v>
      </c>
      <c r="E262" s="13">
        <f t="shared" si="21"/>
        <v>754.47125448912425</v>
      </c>
      <c r="F262" s="13">
        <f t="shared" si="22"/>
        <v>318.01439166483192</v>
      </c>
      <c r="G262" s="12">
        <f t="shared" si="23"/>
        <v>151892.43674463019</v>
      </c>
    </row>
    <row r="263" spans="2:7" x14ac:dyDescent="0.3">
      <c r="B263" s="11">
        <f t="shared" si="18"/>
        <v>53693</v>
      </c>
      <c r="C263" s="12">
        <f t="shared" si="19"/>
        <v>151892.43674463019</v>
      </c>
      <c r="D263" s="13">
        <f t="shared" si="20"/>
        <v>1072.4856461539562</v>
      </c>
      <c r="E263" s="13">
        <f t="shared" si="21"/>
        <v>756.0430696026433</v>
      </c>
      <c r="F263" s="13">
        <f t="shared" si="22"/>
        <v>316.44257655131287</v>
      </c>
      <c r="G263" s="12">
        <f t="shared" si="23"/>
        <v>151136.39367502756</v>
      </c>
    </row>
    <row r="264" spans="2:7" x14ac:dyDescent="0.3">
      <c r="B264" s="11">
        <f t="shared" si="18"/>
        <v>53724</v>
      </c>
      <c r="C264" s="12">
        <f t="shared" si="19"/>
        <v>151136.39367502756</v>
      </c>
      <c r="D264" s="13">
        <f t="shared" si="20"/>
        <v>1072.4856461539562</v>
      </c>
      <c r="E264" s="13">
        <f t="shared" si="21"/>
        <v>757.61815933098205</v>
      </c>
      <c r="F264" s="13">
        <f t="shared" si="22"/>
        <v>314.86748682297406</v>
      </c>
      <c r="G264" s="12">
        <f t="shared" si="23"/>
        <v>150378.77551569659</v>
      </c>
    </row>
    <row r="265" spans="2:7" x14ac:dyDescent="0.3">
      <c r="B265" s="11">
        <f t="shared" si="18"/>
        <v>53752</v>
      </c>
      <c r="C265" s="12">
        <f t="shared" si="19"/>
        <v>150378.77551569659</v>
      </c>
      <c r="D265" s="13">
        <f t="shared" si="20"/>
        <v>1072.4856461539562</v>
      </c>
      <c r="E265" s="13">
        <f t="shared" si="21"/>
        <v>759.19653049625492</v>
      </c>
      <c r="F265" s="13">
        <f t="shared" si="22"/>
        <v>313.28911565770125</v>
      </c>
      <c r="G265" s="12">
        <f t="shared" si="23"/>
        <v>149619.57898520032</v>
      </c>
    </row>
    <row r="266" spans="2:7" x14ac:dyDescent="0.3">
      <c r="B266" s="11">
        <f t="shared" si="18"/>
        <v>53783</v>
      </c>
      <c r="C266" s="12">
        <f t="shared" si="19"/>
        <v>149619.57898520032</v>
      </c>
      <c r="D266" s="13">
        <f t="shared" si="20"/>
        <v>1072.4856461539562</v>
      </c>
      <c r="E266" s="13">
        <f t="shared" si="21"/>
        <v>760.77818993478877</v>
      </c>
      <c r="F266" s="13">
        <f t="shared" si="22"/>
        <v>311.70745621916734</v>
      </c>
      <c r="G266" s="12">
        <f t="shared" si="23"/>
        <v>148858.80079526553</v>
      </c>
    </row>
    <row r="267" spans="2:7" x14ac:dyDescent="0.3">
      <c r="B267" s="11">
        <f t="shared" si="18"/>
        <v>53813</v>
      </c>
      <c r="C267" s="12">
        <f t="shared" si="19"/>
        <v>148858.80079526553</v>
      </c>
      <c r="D267" s="13">
        <f t="shared" si="20"/>
        <v>1072.4856461539562</v>
      </c>
      <c r="E267" s="13">
        <f t="shared" si="21"/>
        <v>762.36314449715292</v>
      </c>
      <c r="F267" s="13">
        <f t="shared" si="22"/>
        <v>310.12250165680319</v>
      </c>
      <c r="G267" s="12">
        <f t="shared" si="23"/>
        <v>148096.43765076838</v>
      </c>
    </row>
    <row r="268" spans="2:7" x14ac:dyDescent="0.3">
      <c r="B268" s="11">
        <f t="shared" si="18"/>
        <v>53844</v>
      </c>
      <c r="C268" s="12">
        <f t="shared" si="19"/>
        <v>148096.43765076838</v>
      </c>
      <c r="D268" s="13">
        <f t="shared" si="20"/>
        <v>1072.4856461539562</v>
      </c>
      <c r="E268" s="13">
        <f t="shared" si="21"/>
        <v>763.9514010481887</v>
      </c>
      <c r="F268" s="13">
        <f t="shared" si="22"/>
        <v>308.53424510576747</v>
      </c>
      <c r="G268" s="12">
        <f t="shared" si="23"/>
        <v>147332.48624972018</v>
      </c>
    </row>
    <row r="269" spans="2:7" x14ac:dyDescent="0.3">
      <c r="B269" s="11">
        <f t="shared" ref="B269:B332" si="24">EDATE(B268,1)</f>
        <v>53874</v>
      </c>
      <c r="C269" s="12">
        <f t="shared" ref="C269:C332" si="25">G268</f>
        <v>147332.48624972018</v>
      </c>
      <c r="D269" s="13">
        <f t="shared" ref="D269:D332" si="26">IF(G268&lt;=0.1,0,-PMT($C$6,$C$7,$C$3))</f>
        <v>1072.4856461539562</v>
      </c>
      <c r="E269" s="13">
        <f t="shared" ref="E269:E332" si="27">D269-F269</f>
        <v>765.54296646703915</v>
      </c>
      <c r="F269" s="13">
        <f t="shared" ref="F269:F332" si="28">C269*$C$6</f>
        <v>306.94267968691702</v>
      </c>
      <c r="G269" s="12">
        <f t="shared" ref="G269:G332" si="29">C269-E269</f>
        <v>146566.94328325315</v>
      </c>
    </row>
    <row r="270" spans="2:7" x14ac:dyDescent="0.3">
      <c r="B270" s="11">
        <f t="shared" si="24"/>
        <v>53905</v>
      </c>
      <c r="C270" s="12">
        <f t="shared" si="25"/>
        <v>146566.94328325315</v>
      </c>
      <c r="D270" s="13">
        <f t="shared" si="26"/>
        <v>1072.4856461539562</v>
      </c>
      <c r="E270" s="13">
        <f t="shared" si="27"/>
        <v>767.13784764717877</v>
      </c>
      <c r="F270" s="13">
        <f t="shared" si="28"/>
        <v>305.34779850677739</v>
      </c>
      <c r="G270" s="12">
        <f t="shared" si="29"/>
        <v>145799.80543560596</v>
      </c>
    </row>
    <row r="271" spans="2:7" x14ac:dyDescent="0.3">
      <c r="B271" s="11">
        <f t="shared" si="24"/>
        <v>53936</v>
      </c>
      <c r="C271" s="12">
        <f t="shared" si="25"/>
        <v>145799.80543560596</v>
      </c>
      <c r="D271" s="13">
        <f t="shared" si="26"/>
        <v>1072.4856461539562</v>
      </c>
      <c r="E271" s="13">
        <f t="shared" si="27"/>
        <v>768.73605149644368</v>
      </c>
      <c r="F271" s="13">
        <f t="shared" si="28"/>
        <v>303.74959465751243</v>
      </c>
      <c r="G271" s="12">
        <f t="shared" si="29"/>
        <v>145031.06938410952</v>
      </c>
    </row>
    <row r="272" spans="2:7" x14ac:dyDescent="0.3">
      <c r="B272" s="11">
        <f t="shared" si="24"/>
        <v>53966</v>
      </c>
      <c r="C272" s="12">
        <f t="shared" si="25"/>
        <v>145031.06938410952</v>
      </c>
      <c r="D272" s="13">
        <f t="shared" si="26"/>
        <v>1072.4856461539562</v>
      </c>
      <c r="E272" s="13">
        <f t="shared" si="27"/>
        <v>770.33758493706137</v>
      </c>
      <c r="F272" s="13">
        <f t="shared" si="28"/>
        <v>302.1480612168948</v>
      </c>
      <c r="G272" s="12">
        <f t="shared" si="29"/>
        <v>144260.73179917247</v>
      </c>
    </row>
    <row r="273" spans="2:7" x14ac:dyDescent="0.3">
      <c r="B273" s="11">
        <f t="shared" si="24"/>
        <v>53997</v>
      </c>
      <c r="C273" s="12">
        <f t="shared" si="25"/>
        <v>144260.73179917247</v>
      </c>
      <c r="D273" s="13">
        <f t="shared" si="26"/>
        <v>1072.4856461539562</v>
      </c>
      <c r="E273" s="13">
        <f t="shared" si="27"/>
        <v>771.94245490568017</v>
      </c>
      <c r="F273" s="13">
        <f t="shared" si="28"/>
        <v>300.543191248276</v>
      </c>
      <c r="G273" s="12">
        <f t="shared" si="29"/>
        <v>143488.78934426678</v>
      </c>
    </row>
    <row r="274" spans="2:7" x14ac:dyDescent="0.3">
      <c r="B274" s="11">
        <f t="shared" si="24"/>
        <v>54027</v>
      </c>
      <c r="C274" s="12">
        <f t="shared" si="25"/>
        <v>143488.78934426678</v>
      </c>
      <c r="D274" s="13">
        <f t="shared" si="26"/>
        <v>1072.4856461539562</v>
      </c>
      <c r="E274" s="13">
        <f t="shared" si="27"/>
        <v>773.5506683534004</v>
      </c>
      <c r="F274" s="13">
        <f t="shared" si="28"/>
        <v>298.93497780055577</v>
      </c>
      <c r="G274" s="12">
        <f t="shared" si="29"/>
        <v>142715.2386759134</v>
      </c>
    </row>
    <row r="275" spans="2:7" x14ac:dyDescent="0.3">
      <c r="B275" s="11">
        <f t="shared" si="24"/>
        <v>54058</v>
      </c>
      <c r="C275" s="12">
        <f t="shared" si="25"/>
        <v>142715.2386759134</v>
      </c>
      <c r="D275" s="13">
        <f t="shared" si="26"/>
        <v>1072.4856461539562</v>
      </c>
      <c r="E275" s="13">
        <f t="shared" si="27"/>
        <v>775.16223224580324</v>
      </c>
      <c r="F275" s="13">
        <f t="shared" si="28"/>
        <v>297.32341390815293</v>
      </c>
      <c r="G275" s="12">
        <f t="shared" si="29"/>
        <v>141940.07644366758</v>
      </c>
    </row>
    <row r="276" spans="2:7" x14ac:dyDescent="0.3">
      <c r="B276" s="11">
        <f t="shared" si="24"/>
        <v>54089</v>
      </c>
      <c r="C276" s="12">
        <f t="shared" si="25"/>
        <v>141940.07644366758</v>
      </c>
      <c r="D276" s="13">
        <f t="shared" si="26"/>
        <v>1072.4856461539562</v>
      </c>
      <c r="E276" s="13">
        <f t="shared" si="27"/>
        <v>776.77715356298199</v>
      </c>
      <c r="F276" s="13">
        <f t="shared" si="28"/>
        <v>295.70849259097412</v>
      </c>
      <c r="G276" s="12">
        <f t="shared" si="29"/>
        <v>141163.29929010459</v>
      </c>
    </row>
    <row r="277" spans="2:7" x14ac:dyDescent="0.3">
      <c r="B277" s="11">
        <f t="shared" si="24"/>
        <v>54118</v>
      </c>
      <c r="C277" s="12">
        <f t="shared" si="25"/>
        <v>141163.29929010459</v>
      </c>
      <c r="D277" s="13">
        <f t="shared" si="26"/>
        <v>1072.4856461539562</v>
      </c>
      <c r="E277" s="13">
        <f t="shared" si="27"/>
        <v>778.39543929957154</v>
      </c>
      <c r="F277" s="13">
        <f t="shared" si="28"/>
        <v>294.09020685438458</v>
      </c>
      <c r="G277" s="12">
        <f t="shared" si="29"/>
        <v>140384.90385080501</v>
      </c>
    </row>
    <row r="278" spans="2:7" x14ac:dyDescent="0.3">
      <c r="B278" s="11">
        <f t="shared" si="24"/>
        <v>54149</v>
      </c>
      <c r="C278" s="12">
        <f t="shared" si="25"/>
        <v>140384.90385080501</v>
      </c>
      <c r="D278" s="13">
        <f t="shared" si="26"/>
        <v>1072.4856461539562</v>
      </c>
      <c r="E278" s="13">
        <f t="shared" si="27"/>
        <v>780.01709646477912</v>
      </c>
      <c r="F278" s="13">
        <f t="shared" si="28"/>
        <v>292.46854968917711</v>
      </c>
      <c r="G278" s="12">
        <f t="shared" si="29"/>
        <v>139604.88675434023</v>
      </c>
    </row>
    <row r="279" spans="2:7" x14ac:dyDescent="0.3">
      <c r="B279" s="11">
        <f t="shared" si="24"/>
        <v>54179</v>
      </c>
      <c r="C279" s="12">
        <f t="shared" si="25"/>
        <v>139604.88675434023</v>
      </c>
      <c r="D279" s="13">
        <f t="shared" si="26"/>
        <v>1072.4856461539562</v>
      </c>
      <c r="E279" s="13">
        <f t="shared" si="27"/>
        <v>781.64213208241404</v>
      </c>
      <c r="F279" s="13">
        <f t="shared" si="28"/>
        <v>290.84351407154213</v>
      </c>
      <c r="G279" s="12">
        <f t="shared" si="29"/>
        <v>138823.24462225783</v>
      </c>
    </row>
    <row r="280" spans="2:7" x14ac:dyDescent="0.3">
      <c r="B280" s="11">
        <f t="shared" si="24"/>
        <v>54210</v>
      </c>
      <c r="C280" s="12">
        <f t="shared" si="25"/>
        <v>138823.24462225783</v>
      </c>
      <c r="D280" s="13">
        <f t="shared" si="26"/>
        <v>1072.4856461539562</v>
      </c>
      <c r="E280" s="13">
        <f t="shared" si="27"/>
        <v>783.27055319091903</v>
      </c>
      <c r="F280" s="13">
        <f t="shared" si="28"/>
        <v>289.21509296303714</v>
      </c>
      <c r="G280" s="12">
        <f t="shared" si="29"/>
        <v>138039.9740690669</v>
      </c>
    </row>
    <row r="281" spans="2:7" x14ac:dyDescent="0.3">
      <c r="B281" s="11">
        <f t="shared" si="24"/>
        <v>54240</v>
      </c>
      <c r="C281" s="12">
        <f t="shared" si="25"/>
        <v>138039.9740690669</v>
      </c>
      <c r="D281" s="13">
        <f t="shared" si="26"/>
        <v>1072.4856461539562</v>
      </c>
      <c r="E281" s="13">
        <f t="shared" si="27"/>
        <v>784.90236684340016</v>
      </c>
      <c r="F281" s="13">
        <f t="shared" si="28"/>
        <v>287.58327931055601</v>
      </c>
      <c r="G281" s="12">
        <f t="shared" si="29"/>
        <v>137255.0717022235</v>
      </c>
    </row>
    <row r="282" spans="2:7" x14ac:dyDescent="0.3">
      <c r="B282" s="11">
        <f t="shared" si="24"/>
        <v>54271</v>
      </c>
      <c r="C282" s="12">
        <f t="shared" si="25"/>
        <v>137255.0717022235</v>
      </c>
      <c r="D282" s="13">
        <f t="shared" si="26"/>
        <v>1072.4856461539562</v>
      </c>
      <c r="E282" s="13">
        <f t="shared" si="27"/>
        <v>786.53758010765728</v>
      </c>
      <c r="F282" s="13">
        <f t="shared" si="28"/>
        <v>285.94806604629895</v>
      </c>
      <c r="G282" s="12">
        <f t="shared" si="29"/>
        <v>136468.53412211585</v>
      </c>
    </row>
    <row r="283" spans="2:7" x14ac:dyDescent="0.3">
      <c r="B283" s="11">
        <f t="shared" si="24"/>
        <v>54302</v>
      </c>
      <c r="C283" s="12">
        <f t="shared" si="25"/>
        <v>136468.53412211585</v>
      </c>
      <c r="D283" s="13">
        <f t="shared" si="26"/>
        <v>1072.4856461539562</v>
      </c>
      <c r="E283" s="13">
        <f t="shared" si="27"/>
        <v>788.17620006621485</v>
      </c>
      <c r="F283" s="13">
        <f t="shared" si="28"/>
        <v>284.30944608774132</v>
      </c>
      <c r="G283" s="12">
        <f t="shared" si="29"/>
        <v>135680.35792204962</v>
      </c>
    </row>
    <row r="284" spans="2:7" x14ac:dyDescent="0.3">
      <c r="B284" s="11">
        <f t="shared" si="24"/>
        <v>54332</v>
      </c>
      <c r="C284" s="12">
        <f t="shared" si="25"/>
        <v>135680.35792204962</v>
      </c>
      <c r="D284" s="13">
        <f t="shared" si="26"/>
        <v>1072.4856461539562</v>
      </c>
      <c r="E284" s="13">
        <f t="shared" si="27"/>
        <v>789.81823381635286</v>
      </c>
      <c r="F284" s="13">
        <f t="shared" si="28"/>
        <v>282.66741233760337</v>
      </c>
      <c r="G284" s="12">
        <f t="shared" si="29"/>
        <v>134890.53968823326</v>
      </c>
    </row>
    <row r="285" spans="2:7" x14ac:dyDescent="0.3">
      <c r="B285" s="11">
        <f t="shared" si="24"/>
        <v>54363</v>
      </c>
      <c r="C285" s="12">
        <f t="shared" si="25"/>
        <v>134890.53968823326</v>
      </c>
      <c r="D285" s="13">
        <f t="shared" si="26"/>
        <v>1072.4856461539562</v>
      </c>
      <c r="E285" s="13">
        <f t="shared" si="27"/>
        <v>791.46368847013696</v>
      </c>
      <c r="F285" s="13">
        <f t="shared" si="28"/>
        <v>281.02195768381927</v>
      </c>
      <c r="G285" s="12">
        <f t="shared" si="29"/>
        <v>134099.07599976312</v>
      </c>
    </row>
    <row r="286" spans="2:7" x14ac:dyDescent="0.3">
      <c r="B286" s="11">
        <f t="shared" si="24"/>
        <v>54393</v>
      </c>
      <c r="C286" s="12">
        <f t="shared" si="25"/>
        <v>134099.07599976312</v>
      </c>
      <c r="D286" s="13">
        <f t="shared" si="26"/>
        <v>1072.4856461539562</v>
      </c>
      <c r="E286" s="13">
        <f t="shared" si="27"/>
        <v>793.1125711544496</v>
      </c>
      <c r="F286" s="13">
        <f t="shared" si="28"/>
        <v>279.37307499950651</v>
      </c>
      <c r="G286" s="12">
        <f t="shared" si="29"/>
        <v>133305.96342860867</v>
      </c>
    </row>
    <row r="287" spans="2:7" x14ac:dyDescent="0.3">
      <c r="B287" s="11">
        <f t="shared" si="24"/>
        <v>54424</v>
      </c>
      <c r="C287" s="12">
        <f t="shared" si="25"/>
        <v>133305.96342860867</v>
      </c>
      <c r="D287" s="13">
        <f t="shared" si="26"/>
        <v>1072.4856461539562</v>
      </c>
      <c r="E287" s="13">
        <f t="shared" si="27"/>
        <v>794.76488901102152</v>
      </c>
      <c r="F287" s="13">
        <f t="shared" si="28"/>
        <v>277.7207571429347</v>
      </c>
      <c r="G287" s="12">
        <f t="shared" si="29"/>
        <v>132511.19853959765</v>
      </c>
    </row>
    <row r="288" spans="2:7" x14ac:dyDescent="0.3">
      <c r="B288" s="11">
        <f t="shared" si="24"/>
        <v>54455</v>
      </c>
      <c r="C288" s="12">
        <f t="shared" si="25"/>
        <v>132511.19853959765</v>
      </c>
      <c r="D288" s="13">
        <f t="shared" si="26"/>
        <v>1072.4856461539562</v>
      </c>
      <c r="E288" s="13">
        <f t="shared" si="27"/>
        <v>796.420649196461</v>
      </c>
      <c r="F288" s="13">
        <f t="shared" si="28"/>
        <v>276.06499695749511</v>
      </c>
      <c r="G288" s="12">
        <f t="shared" si="29"/>
        <v>131714.77789040119</v>
      </c>
    </row>
    <row r="289" spans="2:7" x14ac:dyDescent="0.3">
      <c r="B289" s="11">
        <f t="shared" si="24"/>
        <v>54483</v>
      </c>
      <c r="C289" s="12">
        <f t="shared" si="25"/>
        <v>131714.77789040119</v>
      </c>
      <c r="D289" s="13">
        <f t="shared" si="26"/>
        <v>1072.4856461539562</v>
      </c>
      <c r="E289" s="13">
        <f t="shared" si="27"/>
        <v>798.079858882287</v>
      </c>
      <c r="F289" s="13">
        <f t="shared" si="28"/>
        <v>274.40578727166917</v>
      </c>
      <c r="G289" s="12">
        <f t="shared" si="29"/>
        <v>130916.69803151891</v>
      </c>
    </row>
    <row r="290" spans="2:7" x14ac:dyDescent="0.3">
      <c r="B290" s="11">
        <f t="shared" si="24"/>
        <v>54514</v>
      </c>
      <c r="C290" s="12">
        <f t="shared" si="25"/>
        <v>130916.69803151891</v>
      </c>
      <c r="D290" s="13">
        <f t="shared" si="26"/>
        <v>1072.4856461539562</v>
      </c>
      <c r="E290" s="13">
        <f t="shared" si="27"/>
        <v>799.74252525495842</v>
      </c>
      <c r="F290" s="13">
        <f t="shared" si="28"/>
        <v>272.74312089899774</v>
      </c>
      <c r="G290" s="12">
        <f t="shared" si="29"/>
        <v>130116.95550626396</v>
      </c>
    </row>
    <row r="291" spans="2:7" x14ac:dyDescent="0.3">
      <c r="B291" s="11">
        <f t="shared" si="24"/>
        <v>54544</v>
      </c>
      <c r="C291" s="12">
        <f t="shared" si="25"/>
        <v>130116.95550626396</v>
      </c>
      <c r="D291" s="13">
        <f t="shared" si="26"/>
        <v>1072.4856461539562</v>
      </c>
      <c r="E291" s="13">
        <f t="shared" si="27"/>
        <v>801.40865551590628</v>
      </c>
      <c r="F291" s="13">
        <f t="shared" si="28"/>
        <v>271.07699063804989</v>
      </c>
      <c r="G291" s="12">
        <f t="shared" si="29"/>
        <v>129315.54685074805</v>
      </c>
    </row>
    <row r="292" spans="2:7" x14ac:dyDescent="0.3">
      <c r="B292" s="11">
        <f t="shared" si="24"/>
        <v>54575</v>
      </c>
      <c r="C292" s="12">
        <f t="shared" si="25"/>
        <v>129315.54685074805</v>
      </c>
      <c r="D292" s="13">
        <f t="shared" si="26"/>
        <v>1072.4856461539562</v>
      </c>
      <c r="E292" s="13">
        <f t="shared" si="27"/>
        <v>803.07825688156436</v>
      </c>
      <c r="F292" s="13">
        <f t="shared" si="28"/>
        <v>269.40738927239175</v>
      </c>
      <c r="G292" s="12">
        <f t="shared" si="29"/>
        <v>128512.46859386649</v>
      </c>
    </row>
    <row r="293" spans="2:7" x14ac:dyDescent="0.3">
      <c r="B293" s="11">
        <f t="shared" si="24"/>
        <v>54605</v>
      </c>
      <c r="C293" s="12">
        <f t="shared" si="25"/>
        <v>128512.46859386649</v>
      </c>
      <c r="D293" s="13">
        <f t="shared" si="26"/>
        <v>1072.4856461539562</v>
      </c>
      <c r="E293" s="13">
        <f t="shared" si="27"/>
        <v>804.75133658340098</v>
      </c>
      <c r="F293" s="13">
        <f t="shared" si="28"/>
        <v>267.73430957055518</v>
      </c>
      <c r="G293" s="12">
        <f t="shared" si="29"/>
        <v>127707.71725728309</v>
      </c>
    </row>
    <row r="294" spans="2:7" x14ac:dyDescent="0.3">
      <c r="B294" s="11">
        <f t="shared" si="24"/>
        <v>54636</v>
      </c>
      <c r="C294" s="12">
        <f t="shared" si="25"/>
        <v>127707.71725728309</v>
      </c>
      <c r="D294" s="13">
        <f t="shared" si="26"/>
        <v>1072.4856461539562</v>
      </c>
      <c r="E294" s="13">
        <f t="shared" si="27"/>
        <v>806.42790186794969</v>
      </c>
      <c r="F294" s="13">
        <f t="shared" si="28"/>
        <v>266.05774428600643</v>
      </c>
      <c r="G294" s="12">
        <f t="shared" si="29"/>
        <v>126901.28935541514</v>
      </c>
    </row>
    <row r="295" spans="2:7" x14ac:dyDescent="0.3">
      <c r="B295" s="11">
        <f t="shared" si="24"/>
        <v>54667</v>
      </c>
      <c r="C295" s="12">
        <f t="shared" si="25"/>
        <v>126901.28935541514</v>
      </c>
      <c r="D295" s="13">
        <f t="shared" si="26"/>
        <v>1072.4856461539562</v>
      </c>
      <c r="E295" s="13">
        <f t="shared" si="27"/>
        <v>808.10795999684137</v>
      </c>
      <c r="F295" s="13">
        <f t="shared" si="28"/>
        <v>264.37768615711485</v>
      </c>
      <c r="G295" s="12">
        <f t="shared" si="29"/>
        <v>126093.1813954183</v>
      </c>
    </row>
    <row r="296" spans="2:7" x14ac:dyDescent="0.3">
      <c r="B296" s="11">
        <f t="shared" si="24"/>
        <v>54697</v>
      </c>
      <c r="C296" s="12">
        <f t="shared" si="25"/>
        <v>126093.1813954183</v>
      </c>
      <c r="D296" s="13">
        <f t="shared" si="26"/>
        <v>1072.4856461539562</v>
      </c>
      <c r="E296" s="13">
        <f t="shared" si="27"/>
        <v>809.7915182468347</v>
      </c>
      <c r="F296" s="13">
        <f t="shared" si="28"/>
        <v>262.69412790712147</v>
      </c>
      <c r="G296" s="12">
        <f t="shared" si="29"/>
        <v>125283.38987717147</v>
      </c>
    </row>
    <row r="297" spans="2:7" x14ac:dyDescent="0.3">
      <c r="B297" s="11">
        <f t="shared" si="24"/>
        <v>54728</v>
      </c>
      <c r="C297" s="12">
        <f t="shared" si="25"/>
        <v>125283.38987717147</v>
      </c>
      <c r="D297" s="13">
        <f t="shared" si="26"/>
        <v>1072.4856461539562</v>
      </c>
      <c r="E297" s="13">
        <f t="shared" si="27"/>
        <v>811.47858390984891</v>
      </c>
      <c r="F297" s="13">
        <f t="shared" si="28"/>
        <v>261.00706224410726</v>
      </c>
      <c r="G297" s="12">
        <f t="shared" si="29"/>
        <v>124471.91129326163</v>
      </c>
    </row>
    <row r="298" spans="2:7" x14ac:dyDescent="0.3">
      <c r="B298" s="11">
        <f t="shared" si="24"/>
        <v>54758</v>
      </c>
      <c r="C298" s="12">
        <f t="shared" si="25"/>
        <v>124471.91129326163</v>
      </c>
      <c r="D298" s="13">
        <f t="shared" si="26"/>
        <v>1072.4856461539562</v>
      </c>
      <c r="E298" s="13">
        <f t="shared" si="27"/>
        <v>813.16916429299442</v>
      </c>
      <c r="F298" s="13">
        <f t="shared" si="28"/>
        <v>259.31648186096174</v>
      </c>
      <c r="G298" s="12">
        <f t="shared" si="29"/>
        <v>123658.74212896863</v>
      </c>
    </row>
    <row r="299" spans="2:7" x14ac:dyDescent="0.3">
      <c r="B299" s="11">
        <f t="shared" si="24"/>
        <v>54789</v>
      </c>
      <c r="C299" s="12">
        <f t="shared" si="25"/>
        <v>123658.74212896863</v>
      </c>
      <c r="D299" s="13">
        <f t="shared" si="26"/>
        <v>1072.4856461539562</v>
      </c>
      <c r="E299" s="13">
        <f t="shared" si="27"/>
        <v>814.86326671860479</v>
      </c>
      <c r="F299" s="13">
        <f t="shared" si="28"/>
        <v>257.62237943535132</v>
      </c>
      <c r="G299" s="12">
        <f t="shared" si="29"/>
        <v>122843.87886225003</v>
      </c>
    </row>
    <row r="300" spans="2:7" x14ac:dyDescent="0.3">
      <c r="B300" s="11">
        <f t="shared" si="24"/>
        <v>54820</v>
      </c>
      <c r="C300" s="12">
        <f t="shared" si="25"/>
        <v>122843.87886225003</v>
      </c>
      <c r="D300" s="13">
        <f t="shared" si="26"/>
        <v>1072.4856461539562</v>
      </c>
      <c r="E300" s="13">
        <f t="shared" si="27"/>
        <v>816.56089852426862</v>
      </c>
      <c r="F300" s="13">
        <f t="shared" si="28"/>
        <v>255.92474762968754</v>
      </c>
      <c r="G300" s="12">
        <f t="shared" si="29"/>
        <v>122027.31796372576</v>
      </c>
    </row>
    <row r="301" spans="2:7" x14ac:dyDescent="0.3">
      <c r="B301" s="11">
        <f t="shared" si="24"/>
        <v>54848</v>
      </c>
      <c r="C301" s="12">
        <f t="shared" si="25"/>
        <v>122027.31796372576</v>
      </c>
      <c r="D301" s="13">
        <f t="shared" si="26"/>
        <v>1072.4856461539562</v>
      </c>
      <c r="E301" s="13">
        <f t="shared" si="27"/>
        <v>818.26206706286087</v>
      </c>
      <c r="F301" s="13">
        <f t="shared" si="28"/>
        <v>254.22357909109533</v>
      </c>
      <c r="G301" s="12">
        <f t="shared" si="29"/>
        <v>121209.05589666289</v>
      </c>
    </row>
    <row r="302" spans="2:7" x14ac:dyDescent="0.3">
      <c r="B302" s="11">
        <f t="shared" si="24"/>
        <v>54879</v>
      </c>
      <c r="C302" s="12">
        <f t="shared" si="25"/>
        <v>121209.05589666289</v>
      </c>
      <c r="D302" s="13">
        <f t="shared" si="26"/>
        <v>1072.4856461539562</v>
      </c>
      <c r="E302" s="13">
        <f t="shared" si="27"/>
        <v>819.9667797025752</v>
      </c>
      <c r="F302" s="13">
        <f t="shared" si="28"/>
        <v>252.518866451381</v>
      </c>
      <c r="G302" s="12">
        <f t="shared" si="29"/>
        <v>120389.08911696031</v>
      </c>
    </row>
    <row r="303" spans="2:7" x14ac:dyDescent="0.3">
      <c r="B303" s="11">
        <f t="shared" si="24"/>
        <v>54909</v>
      </c>
      <c r="C303" s="12">
        <f t="shared" si="25"/>
        <v>120389.08911696031</v>
      </c>
      <c r="D303" s="13">
        <f t="shared" si="26"/>
        <v>1072.4856461539562</v>
      </c>
      <c r="E303" s="13">
        <f t="shared" si="27"/>
        <v>821.67504382695552</v>
      </c>
      <c r="F303" s="13">
        <f t="shared" si="28"/>
        <v>250.81060232700065</v>
      </c>
      <c r="G303" s="12">
        <f t="shared" si="29"/>
        <v>119567.41407313336</v>
      </c>
    </row>
    <row r="304" spans="2:7" x14ac:dyDescent="0.3">
      <c r="B304" s="11">
        <f t="shared" si="24"/>
        <v>54940</v>
      </c>
      <c r="C304" s="12">
        <f t="shared" si="25"/>
        <v>119567.41407313336</v>
      </c>
      <c r="D304" s="13">
        <f t="shared" si="26"/>
        <v>1072.4856461539562</v>
      </c>
      <c r="E304" s="13">
        <f t="shared" si="27"/>
        <v>823.38686683492836</v>
      </c>
      <c r="F304" s="13">
        <f t="shared" si="28"/>
        <v>249.09877931902784</v>
      </c>
      <c r="G304" s="12">
        <f t="shared" si="29"/>
        <v>118744.02720629843</v>
      </c>
    </row>
    <row r="305" spans="2:7" x14ac:dyDescent="0.3">
      <c r="B305" s="11">
        <f t="shared" si="24"/>
        <v>54970</v>
      </c>
      <c r="C305" s="12">
        <f t="shared" si="25"/>
        <v>118744.02720629843</v>
      </c>
      <c r="D305" s="13">
        <f t="shared" si="26"/>
        <v>1072.4856461539562</v>
      </c>
      <c r="E305" s="13">
        <f t="shared" si="27"/>
        <v>825.10225614083447</v>
      </c>
      <c r="F305" s="13">
        <f t="shared" si="28"/>
        <v>247.38339001312173</v>
      </c>
      <c r="G305" s="12">
        <f t="shared" si="29"/>
        <v>117918.9249501576</v>
      </c>
    </row>
    <row r="306" spans="2:7" x14ac:dyDescent="0.3">
      <c r="B306" s="11">
        <f t="shared" si="24"/>
        <v>55001</v>
      </c>
      <c r="C306" s="12">
        <f t="shared" si="25"/>
        <v>117918.9249501576</v>
      </c>
      <c r="D306" s="13">
        <f t="shared" si="26"/>
        <v>1072.4856461539562</v>
      </c>
      <c r="E306" s="13">
        <f t="shared" si="27"/>
        <v>826.82121917446113</v>
      </c>
      <c r="F306" s="13">
        <f t="shared" si="28"/>
        <v>245.664426979495</v>
      </c>
      <c r="G306" s="12">
        <f t="shared" si="29"/>
        <v>117092.10373098313</v>
      </c>
    </row>
    <row r="307" spans="2:7" x14ac:dyDescent="0.3">
      <c r="B307" s="11">
        <f t="shared" si="24"/>
        <v>55032</v>
      </c>
      <c r="C307" s="12">
        <f t="shared" si="25"/>
        <v>117092.10373098313</v>
      </c>
      <c r="D307" s="13">
        <f t="shared" si="26"/>
        <v>1072.4856461539562</v>
      </c>
      <c r="E307" s="13">
        <f t="shared" si="27"/>
        <v>828.54376338107465</v>
      </c>
      <c r="F307" s="13">
        <f t="shared" si="28"/>
        <v>243.94188277288151</v>
      </c>
      <c r="G307" s="12">
        <f t="shared" si="29"/>
        <v>116263.55996760205</v>
      </c>
    </row>
    <row r="308" spans="2:7" x14ac:dyDescent="0.3">
      <c r="B308" s="11">
        <f t="shared" si="24"/>
        <v>55062</v>
      </c>
      <c r="C308" s="12">
        <f t="shared" si="25"/>
        <v>116263.55996760205</v>
      </c>
      <c r="D308" s="13">
        <f t="shared" si="26"/>
        <v>1072.4856461539562</v>
      </c>
      <c r="E308" s="13">
        <f t="shared" si="27"/>
        <v>830.26989622145186</v>
      </c>
      <c r="F308" s="13">
        <f t="shared" si="28"/>
        <v>242.21574993250428</v>
      </c>
      <c r="G308" s="12">
        <f t="shared" si="29"/>
        <v>115433.2900713806</v>
      </c>
    </row>
    <row r="309" spans="2:7" x14ac:dyDescent="0.3">
      <c r="B309" s="11">
        <f t="shared" si="24"/>
        <v>55093</v>
      </c>
      <c r="C309" s="12">
        <f t="shared" si="25"/>
        <v>115433.2900713806</v>
      </c>
      <c r="D309" s="13">
        <f t="shared" si="26"/>
        <v>1072.4856461539562</v>
      </c>
      <c r="E309" s="13">
        <f t="shared" si="27"/>
        <v>831.99962517191329</v>
      </c>
      <c r="F309" s="13">
        <f t="shared" si="28"/>
        <v>240.4860209820429</v>
      </c>
      <c r="G309" s="12">
        <f t="shared" si="29"/>
        <v>114601.29044620869</v>
      </c>
    </row>
    <row r="310" spans="2:7" x14ac:dyDescent="0.3">
      <c r="B310" s="11">
        <f t="shared" si="24"/>
        <v>55123</v>
      </c>
      <c r="C310" s="12">
        <f t="shared" si="25"/>
        <v>114601.29044620869</v>
      </c>
      <c r="D310" s="13">
        <f t="shared" si="26"/>
        <v>1072.4856461539562</v>
      </c>
      <c r="E310" s="13">
        <f t="shared" si="27"/>
        <v>833.73295772435472</v>
      </c>
      <c r="F310" s="13">
        <f t="shared" si="28"/>
        <v>238.75268842960142</v>
      </c>
      <c r="G310" s="12">
        <f t="shared" si="29"/>
        <v>113767.55748848434</v>
      </c>
    </row>
    <row r="311" spans="2:7" x14ac:dyDescent="0.3">
      <c r="B311" s="11">
        <f t="shared" si="24"/>
        <v>55154</v>
      </c>
      <c r="C311" s="12">
        <f t="shared" si="25"/>
        <v>113767.55748848434</v>
      </c>
      <c r="D311" s="13">
        <f t="shared" si="26"/>
        <v>1072.4856461539562</v>
      </c>
      <c r="E311" s="13">
        <f t="shared" si="27"/>
        <v>835.46990138628053</v>
      </c>
      <c r="F311" s="13">
        <f t="shared" si="28"/>
        <v>237.0157447676757</v>
      </c>
      <c r="G311" s="12">
        <f t="shared" si="29"/>
        <v>112932.08758709805</v>
      </c>
    </row>
    <row r="312" spans="2:7" x14ac:dyDescent="0.3">
      <c r="B312" s="11">
        <f t="shared" si="24"/>
        <v>55185</v>
      </c>
      <c r="C312" s="12">
        <f t="shared" si="25"/>
        <v>112932.08758709805</v>
      </c>
      <c r="D312" s="13">
        <f t="shared" si="26"/>
        <v>1072.4856461539562</v>
      </c>
      <c r="E312" s="13">
        <f t="shared" si="27"/>
        <v>837.21046368083523</v>
      </c>
      <c r="F312" s="13">
        <f t="shared" si="28"/>
        <v>235.27518247312094</v>
      </c>
      <c r="G312" s="12">
        <f t="shared" si="29"/>
        <v>112094.87712341722</v>
      </c>
    </row>
    <row r="313" spans="2:7" x14ac:dyDescent="0.3">
      <c r="B313" s="11">
        <f t="shared" si="24"/>
        <v>55213</v>
      </c>
      <c r="C313" s="12">
        <f t="shared" si="25"/>
        <v>112094.87712341722</v>
      </c>
      <c r="D313" s="13">
        <f t="shared" si="26"/>
        <v>1072.4856461539562</v>
      </c>
      <c r="E313" s="13">
        <f t="shared" si="27"/>
        <v>838.95465214683691</v>
      </c>
      <c r="F313" s="13">
        <f t="shared" si="28"/>
        <v>233.5309940071192</v>
      </c>
      <c r="G313" s="12">
        <f t="shared" si="29"/>
        <v>111255.92247127037</v>
      </c>
    </row>
    <row r="314" spans="2:7" x14ac:dyDescent="0.3">
      <c r="B314" s="11">
        <f t="shared" si="24"/>
        <v>55244</v>
      </c>
      <c r="C314" s="12">
        <f t="shared" si="25"/>
        <v>111255.92247127037</v>
      </c>
      <c r="D314" s="13">
        <f t="shared" si="26"/>
        <v>1072.4856461539562</v>
      </c>
      <c r="E314" s="13">
        <f t="shared" si="27"/>
        <v>840.70247433880957</v>
      </c>
      <c r="F314" s="13">
        <f t="shared" si="28"/>
        <v>231.7831718151466</v>
      </c>
      <c r="G314" s="12">
        <f t="shared" si="29"/>
        <v>110415.21999693157</v>
      </c>
    </row>
    <row r="315" spans="2:7" x14ac:dyDescent="0.3">
      <c r="B315" s="11">
        <f t="shared" si="24"/>
        <v>55274</v>
      </c>
      <c r="C315" s="12">
        <f t="shared" si="25"/>
        <v>110415.21999693157</v>
      </c>
      <c r="D315" s="13">
        <f t="shared" si="26"/>
        <v>1072.4856461539562</v>
      </c>
      <c r="E315" s="13">
        <f t="shared" si="27"/>
        <v>842.45393782701535</v>
      </c>
      <c r="F315" s="13">
        <f t="shared" si="28"/>
        <v>230.03170832694076</v>
      </c>
      <c r="G315" s="12">
        <f t="shared" si="29"/>
        <v>109572.76605910456</v>
      </c>
    </row>
    <row r="316" spans="2:7" x14ac:dyDescent="0.3">
      <c r="B316" s="11">
        <f t="shared" si="24"/>
        <v>55305</v>
      </c>
      <c r="C316" s="12">
        <f t="shared" si="25"/>
        <v>109572.76605910456</v>
      </c>
      <c r="D316" s="13">
        <f t="shared" si="26"/>
        <v>1072.4856461539562</v>
      </c>
      <c r="E316" s="13">
        <f t="shared" si="27"/>
        <v>844.2090501974883</v>
      </c>
      <c r="F316" s="13">
        <f t="shared" si="28"/>
        <v>228.27659595646782</v>
      </c>
      <c r="G316" s="12">
        <f t="shared" si="29"/>
        <v>108728.55700890707</v>
      </c>
    </row>
    <row r="317" spans="2:7" x14ac:dyDescent="0.3">
      <c r="B317" s="11">
        <f t="shared" si="24"/>
        <v>55335</v>
      </c>
      <c r="C317" s="12">
        <f t="shared" si="25"/>
        <v>108728.55700890707</v>
      </c>
      <c r="D317" s="13">
        <f t="shared" si="26"/>
        <v>1072.4856461539562</v>
      </c>
      <c r="E317" s="13">
        <f t="shared" si="27"/>
        <v>845.96781905206649</v>
      </c>
      <c r="F317" s="13">
        <f t="shared" si="28"/>
        <v>226.51782710188971</v>
      </c>
      <c r="G317" s="12">
        <f t="shared" si="29"/>
        <v>107882.589189855</v>
      </c>
    </row>
    <row r="318" spans="2:7" x14ac:dyDescent="0.3">
      <c r="B318" s="11">
        <f t="shared" si="24"/>
        <v>55366</v>
      </c>
      <c r="C318" s="12">
        <f t="shared" si="25"/>
        <v>107882.589189855</v>
      </c>
      <c r="D318" s="13">
        <f t="shared" si="26"/>
        <v>1072.4856461539562</v>
      </c>
      <c r="E318" s="13">
        <f t="shared" si="27"/>
        <v>847.73025200842494</v>
      </c>
      <c r="F318" s="13">
        <f t="shared" si="28"/>
        <v>224.75539414553126</v>
      </c>
      <c r="G318" s="12">
        <f t="shared" si="29"/>
        <v>107034.85893784658</v>
      </c>
    </row>
    <row r="319" spans="2:7" x14ac:dyDescent="0.3">
      <c r="B319" s="11">
        <f t="shared" si="24"/>
        <v>55397</v>
      </c>
      <c r="C319" s="12">
        <f t="shared" si="25"/>
        <v>107034.85893784658</v>
      </c>
      <c r="D319" s="13">
        <f t="shared" si="26"/>
        <v>1072.4856461539562</v>
      </c>
      <c r="E319" s="13">
        <f t="shared" si="27"/>
        <v>849.49635670010912</v>
      </c>
      <c r="F319" s="13">
        <f t="shared" si="28"/>
        <v>222.98928945384705</v>
      </c>
      <c r="G319" s="12">
        <f t="shared" si="29"/>
        <v>106185.36258114647</v>
      </c>
    </row>
    <row r="320" spans="2:7" x14ac:dyDescent="0.3">
      <c r="B320" s="11">
        <f t="shared" si="24"/>
        <v>55427</v>
      </c>
      <c r="C320" s="12">
        <f t="shared" si="25"/>
        <v>106185.36258114647</v>
      </c>
      <c r="D320" s="13">
        <f t="shared" si="26"/>
        <v>1072.4856461539562</v>
      </c>
      <c r="E320" s="13">
        <f t="shared" si="27"/>
        <v>851.26614077656768</v>
      </c>
      <c r="F320" s="13">
        <f t="shared" si="28"/>
        <v>221.21950537738849</v>
      </c>
      <c r="G320" s="12">
        <f t="shared" si="29"/>
        <v>105334.0964403699</v>
      </c>
    </row>
    <row r="321" spans="2:7" x14ac:dyDescent="0.3">
      <c r="B321" s="11">
        <f t="shared" si="24"/>
        <v>55458</v>
      </c>
      <c r="C321" s="12">
        <f t="shared" si="25"/>
        <v>105334.0964403699</v>
      </c>
      <c r="D321" s="13">
        <f t="shared" si="26"/>
        <v>1072.4856461539562</v>
      </c>
      <c r="E321" s="13">
        <f t="shared" si="27"/>
        <v>853.03961190318557</v>
      </c>
      <c r="F321" s="13">
        <f t="shared" si="28"/>
        <v>219.44603425077062</v>
      </c>
      <c r="G321" s="12">
        <f t="shared" si="29"/>
        <v>104481.05682846672</v>
      </c>
    </row>
    <row r="322" spans="2:7" x14ac:dyDescent="0.3">
      <c r="B322" s="11">
        <f t="shared" si="24"/>
        <v>55488</v>
      </c>
      <c r="C322" s="12">
        <f t="shared" si="25"/>
        <v>104481.05682846672</v>
      </c>
      <c r="D322" s="13">
        <f t="shared" si="26"/>
        <v>1072.4856461539562</v>
      </c>
      <c r="E322" s="13">
        <f t="shared" si="27"/>
        <v>854.8167777613171</v>
      </c>
      <c r="F322" s="13">
        <f t="shared" si="28"/>
        <v>217.66886839263901</v>
      </c>
      <c r="G322" s="12">
        <f t="shared" si="29"/>
        <v>103626.24005070541</v>
      </c>
    </row>
    <row r="323" spans="2:7" x14ac:dyDescent="0.3">
      <c r="B323" s="11">
        <f t="shared" si="24"/>
        <v>55519</v>
      </c>
      <c r="C323" s="12">
        <f t="shared" si="25"/>
        <v>103626.24005070541</v>
      </c>
      <c r="D323" s="13">
        <f t="shared" si="26"/>
        <v>1072.4856461539562</v>
      </c>
      <c r="E323" s="13">
        <f t="shared" si="27"/>
        <v>856.59764604831992</v>
      </c>
      <c r="F323" s="13">
        <f t="shared" si="28"/>
        <v>215.88800010563628</v>
      </c>
      <c r="G323" s="12">
        <f t="shared" si="29"/>
        <v>102769.64240465709</v>
      </c>
    </row>
    <row r="324" spans="2:7" x14ac:dyDescent="0.3">
      <c r="B324" s="11">
        <f t="shared" si="24"/>
        <v>55550</v>
      </c>
      <c r="C324" s="12">
        <f t="shared" si="25"/>
        <v>102769.64240465709</v>
      </c>
      <c r="D324" s="13">
        <f t="shared" si="26"/>
        <v>1072.4856461539562</v>
      </c>
      <c r="E324" s="13">
        <f t="shared" si="27"/>
        <v>858.38222447758722</v>
      </c>
      <c r="F324" s="13">
        <f t="shared" si="28"/>
        <v>214.10342167636892</v>
      </c>
      <c r="G324" s="12">
        <f t="shared" si="29"/>
        <v>101911.26018017951</v>
      </c>
    </row>
    <row r="325" spans="2:7" x14ac:dyDescent="0.3">
      <c r="B325" s="11">
        <f t="shared" si="24"/>
        <v>55579</v>
      </c>
      <c r="C325" s="12">
        <f t="shared" si="25"/>
        <v>101911.26018017951</v>
      </c>
      <c r="D325" s="13">
        <f t="shared" si="26"/>
        <v>1072.4856461539562</v>
      </c>
      <c r="E325" s="13">
        <f t="shared" si="27"/>
        <v>860.17052077858216</v>
      </c>
      <c r="F325" s="13">
        <f t="shared" si="28"/>
        <v>212.31512537537398</v>
      </c>
      <c r="G325" s="12">
        <f t="shared" si="29"/>
        <v>101051.08965940092</v>
      </c>
    </row>
    <row r="326" spans="2:7" x14ac:dyDescent="0.3">
      <c r="B326" s="11">
        <f t="shared" si="24"/>
        <v>55610</v>
      </c>
      <c r="C326" s="12">
        <f t="shared" si="25"/>
        <v>101051.08965940092</v>
      </c>
      <c r="D326" s="13">
        <f t="shared" si="26"/>
        <v>1072.4856461539562</v>
      </c>
      <c r="E326" s="13">
        <f t="shared" si="27"/>
        <v>861.96254269687097</v>
      </c>
      <c r="F326" s="13">
        <f t="shared" si="28"/>
        <v>210.52310345708526</v>
      </c>
      <c r="G326" s="12">
        <f t="shared" si="29"/>
        <v>100189.12711670405</v>
      </c>
    </row>
    <row r="327" spans="2:7" x14ac:dyDescent="0.3">
      <c r="B327" s="11">
        <f t="shared" si="24"/>
        <v>55640</v>
      </c>
      <c r="C327" s="12">
        <f t="shared" si="25"/>
        <v>100189.12711670405</v>
      </c>
      <c r="D327" s="13">
        <f t="shared" si="26"/>
        <v>1072.4856461539562</v>
      </c>
      <c r="E327" s="13">
        <f t="shared" si="27"/>
        <v>863.75829799415601</v>
      </c>
      <c r="F327" s="13">
        <f t="shared" si="28"/>
        <v>208.7273481598001</v>
      </c>
      <c r="G327" s="12">
        <f t="shared" si="29"/>
        <v>99325.368818709903</v>
      </c>
    </row>
    <row r="328" spans="2:7" x14ac:dyDescent="0.3">
      <c r="B328" s="11">
        <f t="shared" si="24"/>
        <v>55671</v>
      </c>
      <c r="C328" s="12">
        <f t="shared" si="25"/>
        <v>99325.368818709903</v>
      </c>
      <c r="D328" s="13">
        <f t="shared" si="26"/>
        <v>1072.4856461539562</v>
      </c>
      <c r="E328" s="13">
        <f t="shared" si="27"/>
        <v>865.55779444831057</v>
      </c>
      <c r="F328" s="13">
        <f t="shared" si="28"/>
        <v>206.92785170564562</v>
      </c>
      <c r="G328" s="12">
        <f t="shared" si="29"/>
        <v>98459.811024261595</v>
      </c>
    </row>
    <row r="329" spans="2:7" x14ac:dyDescent="0.3">
      <c r="B329" s="11">
        <f t="shared" si="24"/>
        <v>55701</v>
      </c>
      <c r="C329" s="12">
        <f t="shared" si="25"/>
        <v>98459.811024261595</v>
      </c>
      <c r="D329" s="13">
        <f t="shared" si="26"/>
        <v>1072.4856461539562</v>
      </c>
      <c r="E329" s="13">
        <f t="shared" si="27"/>
        <v>867.36103985341117</v>
      </c>
      <c r="F329" s="13">
        <f t="shared" si="28"/>
        <v>205.124606300545</v>
      </c>
      <c r="G329" s="12">
        <f t="shared" si="29"/>
        <v>97592.449984408187</v>
      </c>
    </row>
    <row r="330" spans="2:7" x14ac:dyDescent="0.3">
      <c r="B330" s="11">
        <f t="shared" si="24"/>
        <v>55732</v>
      </c>
      <c r="C330" s="12">
        <f t="shared" si="25"/>
        <v>97592.449984408187</v>
      </c>
      <c r="D330" s="13">
        <f t="shared" si="26"/>
        <v>1072.4856461539562</v>
      </c>
      <c r="E330" s="13">
        <f t="shared" si="27"/>
        <v>869.16804201977243</v>
      </c>
      <c r="F330" s="13">
        <f t="shared" si="28"/>
        <v>203.31760413418371</v>
      </c>
      <c r="G330" s="12">
        <f t="shared" si="29"/>
        <v>96723.281942388421</v>
      </c>
    </row>
    <row r="331" spans="2:7" x14ac:dyDescent="0.3">
      <c r="B331" s="11">
        <f t="shared" si="24"/>
        <v>55763</v>
      </c>
      <c r="C331" s="12">
        <f t="shared" si="25"/>
        <v>96723.281942388421</v>
      </c>
      <c r="D331" s="13">
        <f t="shared" si="26"/>
        <v>1072.4856461539562</v>
      </c>
      <c r="E331" s="13">
        <f t="shared" si="27"/>
        <v>870.97880877398029</v>
      </c>
      <c r="F331" s="13">
        <f t="shared" si="28"/>
        <v>201.50683737997588</v>
      </c>
      <c r="G331" s="12">
        <f t="shared" si="29"/>
        <v>95852.303133614434</v>
      </c>
    </row>
    <row r="332" spans="2:7" x14ac:dyDescent="0.3">
      <c r="B332" s="11">
        <f t="shared" si="24"/>
        <v>55793</v>
      </c>
      <c r="C332" s="12">
        <f t="shared" si="25"/>
        <v>95852.303133614434</v>
      </c>
      <c r="D332" s="13">
        <f t="shared" si="26"/>
        <v>1072.4856461539562</v>
      </c>
      <c r="E332" s="13">
        <f t="shared" si="27"/>
        <v>872.79334795892612</v>
      </c>
      <c r="F332" s="13">
        <f t="shared" si="28"/>
        <v>199.69229819503008</v>
      </c>
      <c r="G332" s="12">
        <f t="shared" si="29"/>
        <v>94979.509785655508</v>
      </c>
    </row>
    <row r="333" spans="2:7" x14ac:dyDescent="0.3">
      <c r="B333" s="11">
        <f t="shared" ref="B333:B396" si="30">EDATE(B332,1)</f>
        <v>55824</v>
      </c>
      <c r="C333" s="12">
        <f t="shared" ref="C333:C396" si="31">G332</f>
        <v>94979.509785655508</v>
      </c>
      <c r="D333" s="13">
        <f t="shared" ref="D333:D396" si="32">IF(G332&lt;=0.1,0,-PMT($C$6,$C$7,$C$3))</f>
        <v>1072.4856461539562</v>
      </c>
      <c r="E333" s="13">
        <f t="shared" ref="E333:E396" si="33">D333-F333</f>
        <v>874.61166743384047</v>
      </c>
      <c r="F333" s="13">
        <f t="shared" ref="F333:F396" si="34">C333*$C$6</f>
        <v>197.87397872011564</v>
      </c>
      <c r="G333" s="12">
        <f t="shared" ref="G333:G396" si="35">C333-E333</f>
        <v>94104.898118221667</v>
      </c>
    </row>
    <row r="334" spans="2:7" x14ac:dyDescent="0.3">
      <c r="B334" s="11">
        <f t="shared" si="30"/>
        <v>55854</v>
      </c>
      <c r="C334" s="12">
        <f t="shared" si="31"/>
        <v>94104.898118221667</v>
      </c>
      <c r="D334" s="13">
        <f t="shared" si="32"/>
        <v>1072.4856461539562</v>
      </c>
      <c r="E334" s="13">
        <f t="shared" si="33"/>
        <v>876.43377507432774</v>
      </c>
      <c r="F334" s="13">
        <f t="shared" si="34"/>
        <v>196.05187107962848</v>
      </c>
      <c r="G334" s="12">
        <f t="shared" si="35"/>
        <v>93228.464343147338</v>
      </c>
    </row>
    <row r="335" spans="2:7" x14ac:dyDescent="0.3">
      <c r="B335" s="11">
        <f t="shared" si="30"/>
        <v>55885</v>
      </c>
      <c r="C335" s="12">
        <f t="shared" si="31"/>
        <v>93228.464343147338</v>
      </c>
      <c r="D335" s="13">
        <f t="shared" si="32"/>
        <v>1072.4856461539562</v>
      </c>
      <c r="E335" s="13">
        <f t="shared" si="33"/>
        <v>878.25967877239918</v>
      </c>
      <c r="F335" s="13">
        <f t="shared" si="34"/>
        <v>194.22596738155696</v>
      </c>
      <c r="G335" s="12">
        <f t="shared" si="35"/>
        <v>92350.204664374935</v>
      </c>
    </row>
    <row r="336" spans="2:7" x14ac:dyDescent="0.3">
      <c r="B336" s="11">
        <f t="shared" si="30"/>
        <v>55916</v>
      </c>
      <c r="C336" s="12">
        <f t="shared" si="31"/>
        <v>92350.204664374935</v>
      </c>
      <c r="D336" s="13">
        <f t="shared" si="32"/>
        <v>1072.4856461539562</v>
      </c>
      <c r="E336" s="13">
        <f t="shared" si="33"/>
        <v>880.08938643650845</v>
      </c>
      <c r="F336" s="13">
        <f t="shared" si="34"/>
        <v>192.39625971744778</v>
      </c>
      <c r="G336" s="12">
        <f t="shared" si="35"/>
        <v>91470.115277938428</v>
      </c>
    </row>
    <row r="337" spans="2:7" x14ac:dyDescent="0.3">
      <c r="B337" s="11">
        <f t="shared" si="30"/>
        <v>55944</v>
      </c>
      <c r="C337" s="12">
        <f t="shared" si="31"/>
        <v>91470.115277938428</v>
      </c>
      <c r="D337" s="13">
        <f t="shared" si="32"/>
        <v>1072.4856461539562</v>
      </c>
      <c r="E337" s="13">
        <f t="shared" si="33"/>
        <v>881.92290599158446</v>
      </c>
      <c r="F337" s="13">
        <f t="shared" si="34"/>
        <v>190.56274016237171</v>
      </c>
      <c r="G337" s="12">
        <f t="shared" si="35"/>
        <v>90588.192371946847</v>
      </c>
    </row>
    <row r="338" spans="2:7" x14ac:dyDescent="0.3">
      <c r="B338" s="11">
        <f t="shared" si="30"/>
        <v>55975</v>
      </c>
      <c r="C338" s="12">
        <f t="shared" si="31"/>
        <v>90588.192371946847</v>
      </c>
      <c r="D338" s="13">
        <f t="shared" si="32"/>
        <v>1072.4856461539562</v>
      </c>
      <c r="E338" s="13">
        <f t="shared" si="33"/>
        <v>883.76024537906687</v>
      </c>
      <c r="F338" s="13">
        <f t="shared" si="34"/>
        <v>188.72540077488927</v>
      </c>
      <c r="G338" s="12">
        <f t="shared" si="35"/>
        <v>89704.432126567786</v>
      </c>
    </row>
    <row r="339" spans="2:7" x14ac:dyDescent="0.3">
      <c r="B339" s="11">
        <f t="shared" si="30"/>
        <v>56005</v>
      </c>
      <c r="C339" s="12">
        <f t="shared" si="31"/>
        <v>89704.432126567786</v>
      </c>
      <c r="D339" s="13">
        <f t="shared" si="32"/>
        <v>1072.4856461539562</v>
      </c>
      <c r="E339" s="13">
        <f t="shared" si="33"/>
        <v>885.60141255693998</v>
      </c>
      <c r="F339" s="13">
        <f t="shared" si="34"/>
        <v>186.88423359701622</v>
      </c>
      <c r="G339" s="12">
        <f t="shared" si="35"/>
        <v>88818.830714010852</v>
      </c>
    </row>
    <row r="340" spans="2:7" x14ac:dyDescent="0.3">
      <c r="B340" s="11">
        <f t="shared" si="30"/>
        <v>56036</v>
      </c>
      <c r="C340" s="12">
        <f t="shared" si="31"/>
        <v>88818.830714010852</v>
      </c>
      <c r="D340" s="13">
        <f t="shared" si="32"/>
        <v>1072.4856461539562</v>
      </c>
      <c r="E340" s="13">
        <f t="shared" si="33"/>
        <v>887.44641549976689</v>
      </c>
      <c r="F340" s="13">
        <f t="shared" si="34"/>
        <v>185.03923065418928</v>
      </c>
      <c r="G340" s="12">
        <f t="shared" si="35"/>
        <v>87931.384298511082</v>
      </c>
    </row>
    <row r="341" spans="2:7" x14ac:dyDescent="0.3">
      <c r="B341" s="11">
        <f t="shared" si="30"/>
        <v>56066</v>
      </c>
      <c r="C341" s="12">
        <f t="shared" si="31"/>
        <v>87931.384298511082</v>
      </c>
      <c r="D341" s="13">
        <f t="shared" si="32"/>
        <v>1072.4856461539562</v>
      </c>
      <c r="E341" s="13">
        <f t="shared" si="33"/>
        <v>889.29526219872469</v>
      </c>
      <c r="F341" s="13">
        <f t="shared" si="34"/>
        <v>183.19038395523143</v>
      </c>
      <c r="G341" s="12">
        <f t="shared" si="35"/>
        <v>87042.089036312362</v>
      </c>
    </row>
    <row r="342" spans="2:7" x14ac:dyDescent="0.3">
      <c r="B342" s="11">
        <f t="shared" si="30"/>
        <v>56097</v>
      </c>
      <c r="C342" s="12">
        <f t="shared" si="31"/>
        <v>87042.089036312362</v>
      </c>
      <c r="D342" s="13">
        <f t="shared" si="32"/>
        <v>1072.4856461539562</v>
      </c>
      <c r="E342" s="13">
        <f t="shared" si="33"/>
        <v>891.14796066163876</v>
      </c>
      <c r="F342" s="13">
        <f t="shared" si="34"/>
        <v>181.33768549231741</v>
      </c>
      <c r="G342" s="12">
        <f t="shared" si="35"/>
        <v>86150.941075650728</v>
      </c>
    </row>
    <row r="343" spans="2:7" x14ac:dyDescent="0.3">
      <c r="B343" s="11">
        <f t="shared" si="30"/>
        <v>56128</v>
      </c>
      <c r="C343" s="12">
        <f t="shared" si="31"/>
        <v>86150.941075650728</v>
      </c>
      <c r="D343" s="13">
        <f t="shared" si="32"/>
        <v>1072.4856461539562</v>
      </c>
      <c r="E343" s="13">
        <f t="shared" si="33"/>
        <v>893.00451891301714</v>
      </c>
      <c r="F343" s="13">
        <f t="shared" si="34"/>
        <v>179.481127240939</v>
      </c>
      <c r="G343" s="12">
        <f t="shared" si="35"/>
        <v>85257.93655673771</v>
      </c>
    </row>
    <row r="344" spans="2:7" x14ac:dyDescent="0.3">
      <c r="B344" s="11">
        <f t="shared" si="30"/>
        <v>56158</v>
      </c>
      <c r="C344" s="12">
        <f t="shared" si="31"/>
        <v>85257.93655673771</v>
      </c>
      <c r="D344" s="13">
        <f t="shared" si="32"/>
        <v>1072.4856461539562</v>
      </c>
      <c r="E344" s="13">
        <f t="shared" si="33"/>
        <v>894.86494499408593</v>
      </c>
      <c r="F344" s="13">
        <f t="shared" si="34"/>
        <v>177.62070115987024</v>
      </c>
      <c r="G344" s="12">
        <f t="shared" si="35"/>
        <v>84363.071611743624</v>
      </c>
    </row>
    <row r="345" spans="2:7" x14ac:dyDescent="0.3">
      <c r="B345" s="11">
        <f t="shared" si="30"/>
        <v>56189</v>
      </c>
      <c r="C345" s="12">
        <f t="shared" si="31"/>
        <v>84363.071611743624</v>
      </c>
      <c r="D345" s="13">
        <f t="shared" si="32"/>
        <v>1072.4856461539562</v>
      </c>
      <c r="E345" s="13">
        <f t="shared" si="33"/>
        <v>896.72924696282359</v>
      </c>
      <c r="F345" s="13">
        <f t="shared" si="34"/>
        <v>175.75639919113254</v>
      </c>
      <c r="G345" s="12">
        <f t="shared" si="35"/>
        <v>83466.342364780794</v>
      </c>
    </row>
    <row r="346" spans="2:7" x14ac:dyDescent="0.3">
      <c r="B346" s="11">
        <f t="shared" si="30"/>
        <v>56219</v>
      </c>
      <c r="C346" s="12">
        <f t="shared" si="31"/>
        <v>83466.342364780794</v>
      </c>
      <c r="D346" s="13">
        <f t="shared" si="32"/>
        <v>1072.4856461539562</v>
      </c>
      <c r="E346" s="13">
        <f t="shared" si="33"/>
        <v>898.59743289399614</v>
      </c>
      <c r="F346" s="13">
        <f t="shared" si="34"/>
        <v>173.88821325996</v>
      </c>
      <c r="G346" s="12">
        <f t="shared" si="35"/>
        <v>82567.744931886802</v>
      </c>
    </row>
    <row r="347" spans="2:7" x14ac:dyDescent="0.3">
      <c r="B347" s="11">
        <f t="shared" si="30"/>
        <v>56250</v>
      </c>
      <c r="C347" s="12">
        <f t="shared" si="31"/>
        <v>82567.744931886802</v>
      </c>
      <c r="D347" s="13">
        <f t="shared" si="32"/>
        <v>1072.4856461539562</v>
      </c>
      <c r="E347" s="13">
        <f t="shared" si="33"/>
        <v>900.46951087919206</v>
      </c>
      <c r="F347" s="13">
        <f t="shared" si="34"/>
        <v>172.01613527476417</v>
      </c>
      <c r="G347" s="12">
        <f t="shared" si="35"/>
        <v>81667.275421007609</v>
      </c>
    </row>
    <row r="348" spans="2:7" x14ac:dyDescent="0.3">
      <c r="B348" s="11">
        <f t="shared" si="30"/>
        <v>56281</v>
      </c>
      <c r="C348" s="12">
        <f t="shared" si="31"/>
        <v>81667.275421007609</v>
      </c>
      <c r="D348" s="13">
        <f t="shared" si="32"/>
        <v>1072.4856461539562</v>
      </c>
      <c r="E348" s="13">
        <f t="shared" si="33"/>
        <v>902.34548902685697</v>
      </c>
      <c r="F348" s="13">
        <f t="shared" si="34"/>
        <v>170.14015712709917</v>
      </c>
      <c r="G348" s="12">
        <f t="shared" si="35"/>
        <v>80764.929931980747</v>
      </c>
    </row>
    <row r="349" spans="2:7" x14ac:dyDescent="0.3">
      <c r="B349" s="11">
        <f t="shared" si="30"/>
        <v>56309</v>
      </c>
      <c r="C349" s="12">
        <f t="shared" si="31"/>
        <v>80764.929931980747</v>
      </c>
      <c r="D349" s="13">
        <f t="shared" si="32"/>
        <v>1072.4856461539562</v>
      </c>
      <c r="E349" s="13">
        <f t="shared" si="33"/>
        <v>904.22537546232957</v>
      </c>
      <c r="F349" s="13">
        <f t="shared" si="34"/>
        <v>168.26027069162654</v>
      </c>
      <c r="G349" s="12">
        <f t="shared" si="35"/>
        <v>79860.704556518423</v>
      </c>
    </row>
    <row r="350" spans="2:7" x14ac:dyDescent="0.3">
      <c r="B350" s="11">
        <f t="shared" si="30"/>
        <v>56340</v>
      </c>
      <c r="C350" s="12">
        <f t="shared" si="31"/>
        <v>79860.704556518423</v>
      </c>
      <c r="D350" s="13">
        <f t="shared" si="32"/>
        <v>1072.4856461539562</v>
      </c>
      <c r="E350" s="13">
        <f t="shared" si="33"/>
        <v>906.10917832787618</v>
      </c>
      <c r="F350" s="13">
        <f t="shared" si="34"/>
        <v>166.37646782608005</v>
      </c>
      <c r="G350" s="12">
        <f t="shared" si="35"/>
        <v>78954.595378190541</v>
      </c>
    </row>
    <row r="351" spans="2:7" x14ac:dyDescent="0.3">
      <c r="B351" s="11">
        <f t="shared" si="30"/>
        <v>56370</v>
      </c>
      <c r="C351" s="12">
        <f t="shared" si="31"/>
        <v>78954.595378190541</v>
      </c>
      <c r="D351" s="13">
        <f t="shared" si="32"/>
        <v>1072.4856461539562</v>
      </c>
      <c r="E351" s="13">
        <f t="shared" si="33"/>
        <v>907.99690578272589</v>
      </c>
      <c r="F351" s="13">
        <f t="shared" si="34"/>
        <v>164.48874037123028</v>
      </c>
      <c r="G351" s="12">
        <f t="shared" si="35"/>
        <v>78046.598472407815</v>
      </c>
    </row>
    <row r="352" spans="2:7" x14ac:dyDescent="0.3">
      <c r="B352" s="11">
        <f t="shared" si="30"/>
        <v>56401</v>
      </c>
      <c r="C352" s="12">
        <f t="shared" si="31"/>
        <v>78046.598472407815</v>
      </c>
      <c r="D352" s="13">
        <f t="shared" si="32"/>
        <v>1072.4856461539562</v>
      </c>
      <c r="E352" s="13">
        <f t="shared" si="33"/>
        <v>909.88856600310658</v>
      </c>
      <c r="F352" s="13">
        <f t="shared" si="34"/>
        <v>162.59708015084962</v>
      </c>
      <c r="G352" s="12">
        <f t="shared" si="35"/>
        <v>77136.709906404707</v>
      </c>
    </row>
    <row r="353" spans="2:7" x14ac:dyDescent="0.3">
      <c r="B353" s="11">
        <f t="shared" si="30"/>
        <v>56431</v>
      </c>
      <c r="C353" s="12">
        <f t="shared" si="31"/>
        <v>77136.709906404707</v>
      </c>
      <c r="D353" s="13">
        <f t="shared" si="32"/>
        <v>1072.4856461539562</v>
      </c>
      <c r="E353" s="13">
        <f t="shared" si="33"/>
        <v>911.7841671822797</v>
      </c>
      <c r="F353" s="13">
        <f t="shared" si="34"/>
        <v>160.70147897167647</v>
      </c>
      <c r="G353" s="12">
        <f t="shared" si="35"/>
        <v>76224.925739222424</v>
      </c>
    </row>
    <row r="354" spans="2:7" x14ac:dyDescent="0.3">
      <c r="B354" s="11">
        <f t="shared" si="30"/>
        <v>56462</v>
      </c>
      <c r="C354" s="12">
        <f t="shared" si="31"/>
        <v>76224.925739222424</v>
      </c>
      <c r="D354" s="13">
        <f t="shared" si="32"/>
        <v>1072.4856461539562</v>
      </c>
      <c r="E354" s="13">
        <f t="shared" si="33"/>
        <v>913.68371753057613</v>
      </c>
      <c r="F354" s="13">
        <f t="shared" si="34"/>
        <v>158.80192862338004</v>
      </c>
      <c r="G354" s="12">
        <f t="shared" si="35"/>
        <v>75311.242021691854</v>
      </c>
    </row>
    <row r="355" spans="2:7" x14ac:dyDescent="0.3">
      <c r="B355" s="11">
        <f t="shared" si="30"/>
        <v>56493</v>
      </c>
      <c r="C355" s="12">
        <f t="shared" si="31"/>
        <v>75311.242021691854</v>
      </c>
      <c r="D355" s="13">
        <f t="shared" si="32"/>
        <v>1072.4856461539562</v>
      </c>
      <c r="E355" s="13">
        <f t="shared" si="33"/>
        <v>915.58722527543148</v>
      </c>
      <c r="F355" s="13">
        <f t="shared" si="34"/>
        <v>156.89842087852469</v>
      </c>
      <c r="G355" s="12">
        <f t="shared" si="35"/>
        <v>74395.65479641642</v>
      </c>
    </row>
    <row r="356" spans="2:7" x14ac:dyDescent="0.3">
      <c r="B356" s="11">
        <f t="shared" si="30"/>
        <v>56523</v>
      </c>
      <c r="C356" s="12">
        <f t="shared" si="31"/>
        <v>74395.65479641642</v>
      </c>
      <c r="D356" s="13">
        <f t="shared" si="32"/>
        <v>1072.4856461539562</v>
      </c>
      <c r="E356" s="13">
        <f t="shared" si="33"/>
        <v>917.49469866142192</v>
      </c>
      <c r="F356" s="13">
        <f t="shared" si="34"/>
        <v>154.99094749253422</v>
      </c>
      <c r="G356" s="12">
        <f t="shared" si="35"/>
        <v>73478.160097754997</v>
      </c>
    </row>
    <row r="357" spans="2:7" x14ac:dyDescent="0.3">
      <c r="B357" s="11">
        <f t="shared" si="30"/>
        <v>56554</v>
      </c>
      <c r="C357" s="12">
        <f t="shared" si="31"/>
        <v>73478.160097754997</v>
      </c>
      <c r="D357" s="13">
        <f t="shared" si="32"/>
        <v>1072.4856461539562</v>
      </c>
      <c r="E357" s="13">
        <f t="shared" si="33"/>
        <v>919.4061459502999</v>
      </c>
      <c r="F357" s="13">
        <f t="shared" si="34"/>
        <v>153.07950020365624</v>
      </c>
      <c r="G357" s="12">
        <f t="shared" si="35"/>
        <v>72558.753951804698</v>
      </c>
    </row>
    <row r="358" spans="2:7" x14ac:dyDescent="0.3">
      <c r="B358" s="11">
        <f t="shared" si="30"/>
        <v>56584</v>
      </c>
      <c r="C358" s="12">
        <f t="shared" si="31"/>
        <v>72558.753951804698</v>
      </c>
      <c r="D358" s="13">
        <f t="shared" si="32"/>
        <v>1072.4856461539562</v>
      </c>
      <c r="E358" s="13">
        <f t="shared" si="33"/>
        <v>921.32157542102971</v>
      </c>
      <c r="F358" s="13">
        <f t="shared" si="34"/>
        <v>151.16407073292646</v>
      </c>
      <c r="G358" s="12">
        <f t="shared" si="35"/>
        <v>71637.432376383673</v>
      </c>
    </row>
    <row r="359" spans="2:7" x14ac:dyDescent="0.3">
      <c r="B359" s="11">
        <f t="shared" si="30"/>
        <v>56615</v>
      </c>
      <c r="C359" s="12">
        <f t="shared" si="31"/>
        <v>71637.432376383673</v>
      </c>
      <c r="D359" s="13">
        <f t="shared" si="32"/>
        <v>1072.4856461539562</v>
      </c>
      <c r="E359" s="13">
        <f t="shared" si="33"/>
        <v>923.24099536982351</v>
      </c>
      <c r="F359" s="13">
        <f t="shared" si="34"/>
        <v>149.24465078413266</v>
      </c>
      <c r="G359" s="12">
        <f t="shared" si="35"/>
        <v>70714.19138101385</v>
      </c>
    </row>
    <row r="360" spans="2:7" x14ac:dyDescent="0.3">
      <c r="B360" s="11">
        <f t="shared" si="30"/>
        <v>56646</v>
      </c>
      <c r="C360" s="12">
        <f t="shared" si="31"/>
        <v>70714.19138101385</v>
      </c>
      <c r="D360" s="13">
        <f t="shared" si="32"/>
        <v>1072.4856461539562</v>
      </c>
      <c r="E360" s="13">
        <f t="shared" si="33"/>
        <v>925.16441411017729</v>
      </c>
      <c r="F360" s="13">
        <f t="shared" si="34"/>
        <v>147.32123204377885</v>
      </c>
      <c r="G360" s="12">
        <f t="shared" si="35"/>
        <v>69789.026966903679</v>
      </c>
    </row>
    <row r="361" spans="2:7" x14ac:dyDescent="0.3">
      <c r="B361" s="11">
        <f t="shared" si="30"/>
        <v>56674</v>
      </c>
      <c r="C361" s="12">
        <f t="shared" si="31"/>
        <v>69789.026966903679</v>
      </c>
      <c r="D361" s="13">
        <f t="shared" si="32"/>
        <v>1072.4856461539562</v>
      </c>
      <c r="E361" s="13">
        <f t="shared" si="33"/>
        <v>927.09183997290688</v>
      </c>
      <c r="F361" s="13">
        <f t="shared" si="34"/>
        <v>145.39380618104934</v>
      </c>
      <c r="G361" s="12">
        <f t="shared" si="35"/>
        <v>68861.935126930766</v>
      </c>
    </row>
    <row r="362" spans="2:7" x14ac:dyDescent="0.3">
      <c r="B362" s="11">
        <f t="shared" si="30"/>
        <v>56705</v>
      </c>
      <c r="C362" s="12">
        <f t="shared" si="31"/>
        <v>68861.935126930766</v>
      </c>
      <c r="D362" s="13">
        <f t="shared" si="32"/>
        <v>1072.4856461539562</v>
      </c>
      <c r="E362" s="13">
        <f t="shared" si="33"/>
        <v>929.02328130618378</v>
      </c>
      <c r="F362" s="13">
        <f t="shared" si="34"/>
        <v>143.46236484777242</v>
      </c>
      <c r="G362" s="12">
        <f t="shared" si="35"/>
        <v>67932.911845624578</v>
      </c>
    </row>
    <row r="363" spans="2:7" x14ac:dyDescent="0.3">
      <c r="B363" s="11">
        <f t="shared" si="30"/>
        <v>56735</v>
      </c>
      <c r="C363" s="12">
        <f t="shared" si="31"/>
        <v>67932.911845624578</v>
      </c>
      <c r="D363" s="13">
        <f t="shared" si="32"/>
        <v>1072.4856461539562</v>
      </c>
      <c r="E363" s="13">
        <f t="shared" si="33"/>
        <v>930.95874647557162</v>
      </c>
      <c r="F363" s="13">
        <f t="shared" si="34"/>
        <v>141.52689967838452</v>
      </c>
      <c r="G363" s="12">
        <f t="shared" si="35"/>
        <v>67001.953099149003</v>
      </c>
    </row>
    <row r="364" spans="2:7" x14ac:dyDescent="0.3">
      <c r="B364" s="11">
        <f t="shared" si="30"/>
        <v>56766</v>
      </c>
      <c r="C364" s="12">
        <f t="shared" si="31"/>
        <v>67001.953099149003</v>
      </c>
      <c r="D364" s="13">
        <f t="shared" si="32"/>
        <v>1072.4856461539562</v>
      </c>
      <c r="E364" s="13">
        <f t="shared" si="33"/>
        <v>932.89824386406235</v>
      </c>
      <c r="F364" s="13">
        <f t="shared" si="34"/>
        <v>139.58740228989376</v>
      </c>
      <c r="G364" s="12">
        <f t="shared" si="35"/>
        <v>66069.054855284936</v>
      </c>
    </row>
    <row r="365" spans="2:7" x14ac:dyDescent="0.3">
      <c r="B365" s="11">
        <f t="shared" si="30"/>
        <v>56796</v>
      </c>
      <c r="C365" s="12">
        <f t="shared" si="31"/>
        <v>66069.054855284936</v>
      </c>
      <c r="D365" s="13">
        <f t="shared" si="32"/>
        <v>1072.4856461539562</v>
      </c>
      <c r="E365" s="13">
        <f t="shared" si="33"/>
        <v>934.84178187211251</v>
      </c>
      <c r="F365" s="13">
        <f t="shared" si="34"/>
        <v>137.64386428184361</v>
      </c>
      <c r="G365" s="12">
        <f t="shared" si="35"/>
        <v>65134.213073412822</v>
      </c>
    </row>
    <row r="366" spans="2:7" x14ac:dyDescent="0.3">
      <c r="B366" s="11">
        <f t="shared" si="30"/>
        <v>56827</v>
      </c>
      <c r="C366" s="12">
        <f t="shared" si="31"/>
        <v>65134.213073412822</v>
      </c>
      <c r="D366" s="13">
        <f t="shared" si="32"/>
        <v>1072.4856461539562</v>
      </c>
      <c r="E366" s="13">
        <f t="shared" si="33"/>
        <v>936.78936891767944</v>
      </c>
      <c r="F366" s="13">
        <f t="shared" si="34"/>
        <v>135.6962772362767</v>
      </c>
      <c r="G366" s="12">
        <f t="shared" si="35"/>
        <v>64197.423704495144</v>
      </c>
    </row>
    <row r="367" spans="2:7" x14ac:dyDescent="0.3">
      <c r="B367" s="11">
        <f t="shared" si="30"/>
        <v>56858</v>
      </c>
      <c r="C367" s="12">
        <f t="shared" si="31"/>
        <v>64197.423704495144</v>
      </c>
      <c r="D367" s="13">
        <f t="shared" si="32"/>
        <v>1072.4856461539562</v>
      </c>
      <c r="E367" s="13">
        <f t="shared" si="33"/>
        <v>938.74101343625796</v>
      </c>
      <c r="F367" s="13">
        <f t="shared" si="34"/>
        <v>133.74463271769821</v>
      </c>
      <c r="G367" s="12">
        <f t="shared" si="35"/>
        <v>63258.682691058886</v>
      </c>
    </row>
    <row r="368" spans="2:7" x14ac:dyDescent="0.3">
      <c r="B368" s="11">
        <f t="shared" si="30"/>
        <v>56888</v>
      </c>
      <c r="C368" s="12">
        <f t="shared" si="31"/>
        <v>63258.682691058886</v>
      </c>
      <c r="D368" s="13">
        <f t="shared" si="32"/>
        <v>1072.4856461539562</v>
      </c>
      <c r="E368" s="13">
        <f t="shared" si="33"/>
        <v>940.69672388091681</v>
      </c>
      <c r="F368" s="13">
        <f t="shared" si="34"/>
        <v>131.78892227303933</v>
      </c>
      <c r="G368" s="12">
        <f t="shared" si="35"/>
        <v>62317.98596717797</v>
      </c>
    </row>
    <row r="369" spans="2:7" x14ac:dyDescent="0.3">
      <c r="B369" s="11">
        <f t="shared" si="30"/>
        <v>56919</v>
      </c>
      <c r="C369" s="12">
        <f t="shared" si="31"/>
        <v>62317.98596717797</v>
      </c>
      <c r="D369" s="13">
        <f t="shared" si="32"/>
        <v>1072.4856461539562</v>
      </c>
      <c r="E369" s="13">
        <f t="shared" si="33"/>
        <v>942.65650872233539</v>
      </c>
      <c r="F369" s="13">
        <f t="shared" si="34"/>
        <v>129.82913743162078</v>
      </c>
      <c r="G369" s="12">
        <f t="shared" si="35"/>
        <v>61375.329458455635</v>
      </c>
    </row>
    <row r="370" spans="2:7" x14ac:dyDescent="0.3">
      <c r="B370" s="11">
        <f t="shared" si="30"/>
        <v>56949</v>
      </c>
      <c r="C370" s="12">
        <f t="shared" si="31"/>
        <v>61375.329458455635</v>
      </c>
      <c r="D370" s="13">
        <f t="shared" si="32"/>
        <v>1072.4856461539562</v>
      </c>
      <c r="E370" s="13">
        <f t="shared" si="33"/>
        <v>944.62037644884026</v>
      </c>
      <c r="F370" s="13">
        <f t="shared" si="34"/>
        <v>127.86526970511591</v>
      </c>
      <c r="G370" s="12">
        <f t="shared" si="35"/>
        <v>60430.709082006797</v>
      </c>
    </row>
    <row r="371" spans="2:7" x14ac:dyDescent="0.3">
      <c r="B371" s="11">
        <f t="shared" si="30"/>
        <v>56980</v>
      </c>
      <c r="C371" s="12">
        <f t="shared" si="31"/>
        <v>60430.709082006797</v>
      </c>
      <c r="D371" s="13">
        <f t="shared" si="32"/>
        <v>1072.4856461539562</v>
      </c>
      <c r="E371" s="13">
        <f t="shared" si="33"/>
        <v>946.58833556644197</v>
      </c>
      <c r="F371" s="13">
        <f t="shared" si="34"/>
        <v>125.89731058751416</v>
      </c>
      <c r="G371" s="12">
        <f t="shared" si="35"/>
        <v>59484.120746440356</v>
      </c>
    </row>
    <row r="372" spans="2:7" x14ac:dyDescent="0.3">
      <c r="B372" s="11">
        <f t="shared" si="30"/>
        <v>57011</v>
      </c>
      <c r="C372" s="12">
        <f t="shared" si="31"/>
        <v>59484.120746440356</v>
      </c>
      <c r="D372" s="13">
        <f t="shared" si="32"/>
        <v>1072.4856461539562</v>
      </c>
      <c r="E372" s="13">
        <f t="shared" si="33"/>
        <v>948.56039459887211</v>
      </c>
      <c r="F372" s="13">
        <f t="shared" si="34"/>
        <v>123.92525155508407</v>
      </c>
      <c r="G372" s="12">
        <f t="shared" si="35"/>
        <v>58535.560351841486</v>
      </c>
    </row>
    <row r="373" spans="2:7" x14ac:dyDescent="0.3">
      <c r="B373" s="11">
        <f t="shared" si="30"/>
        <v>57040</v>
      </c>
      <c r="C373" s="12">
        <f t="shared" si="31"/>
        <v>58535.560351841486</v>
      </c>
      <c r="D373" s="13">
        <f t="shared" si="32"/>
        <v>1072.4856461539562</v>
      </c>
      <c r="E373" s="13">
        <f t="shared" si="33"/>
        <v>950.5365620876197</v>
      </c>
      <c r="F373" s="13">
        <f t="shared" si="34"/>
        <v>121.94908406633643</v>
      </c>
      <c r="G373" s="12">
        <f t="shared" si="35"/>
        <v>57585.023789753868</v>
      </c>
    </row>
    <row r="374" spans="2:7" x14ac:dyDescent="0.3">
      <c r="B374" s="11">
        <f t="shared" si="30"/>
        <v>57071</v>
      </c>
      <c r="C374" s="12">
        <f t="shared" si="31"/>
        <v>57585.023789753868</v>
      </c>
      <c r="D374" s="13">
        <f t="shared" si="32"/>
        <v>1072.4856461539562</v>
      </c>
      <c r="E374" s="13">
        <f t="shared" si="33"/>
        <v>952.51684659196894</v>
      </c>
      <c r="F374" s="13">
        <f t="shared" si="34"/>
        <v>119.96879956198723</v>
      </c>
      <c r="G374" s="12">
        <f t="shared" si="35"/>
        <v>56632.506943161898</v>
      </c>
    </row>
    <row r="375" spans="2:7" x14ac:dyDescent="0.3">
      <c r="B375" s="11">
        <f t="shared" si="30"/>
        <v>57101</v>
      </c>
      <c r="C375" s="12">
        <f t="shared" si="31"/>
        <v>56632.506943161898</v>
      </c>
      <c r="D375" s="13">
        <f t="shared" si="32"/>
        <v>1072.4856461539562</v>
      </c>
      <c r="E375" s="13">
        <f t="shared" si="33"/>
        <v>954.50125668903559</v>
      </c>
      <c r="F375" s="13">
        <f t="shared" si="34"/>
        <v>117.98438946492062</v>
      </c>
      <c r="G375" s="12">
        <f t="shared" si="35"/>
        <v>55678.005686472861</v>
      </c>
    </row>
    <row r="376" spans="2:7" x14ac:dyDescent="0.3">
      <c r="B376" s="11">
        <f t="shared" si="30"/>
        <v>57132</v>
      </c>
      <c r="C376" s="12">
        <f t="shared" si="31"/>
        <v>55678.005686472861</v>
      </c>
      <c r="D376" s="13">
        <f t="shared" si="32"/>
        <v>1072.4856461539562</v>
      </c>
      <c r="E376" s="13">
        <f t="shared" si="33"/>
        <v>956.48980097380434</v>
      </c>
      <c r="F376" s="13">
        <f t="shared" si="34"/>
        <v>115.99584518015179</v>
      </c>
      <c r="G376" s="12">
        <f t="shared" si="35"/>
        <v>54721.515885499059</v>
      </c>
    </row>
    <row r="377" spans="2:7" x14ac:dyDescent="0.3">
      <c r="B377" s="11">
        <f t="shared" si="30"/>
        <v>57162</v>
      </c>
      <c r="C377" s="12">
        <f t="shared" si="31"/>
        <v>54721.515885499059</v>
      </c>
      <c r="D377" s="13">
        <f t="shared" si="32"/>
        <v>1072.4856461539562</v>
      </c>
      <c r="E377" s="13">
        <f t="shared" si="33"/>
        <v>958.48248805916649</v>
      </c>
      <c r="F377" s="13">
        <f t="shared" si="34"/>
        <v>114.0031580947897</v>
      </c>
      <c r="G377" s="12">
        <f t="shared" si="35"/>
        <v>53763.033397439889</v>
      </c>
    </row>
    <row r="378" spans="2:7" x14ac:dyDescent="0.3">
      <c r="B378" s="11">
        <f t="shared" si="30"/>
        <v>57193</v>
      </c>
      <c r="C378" s="12">
        <f t="shared" si="31"/>
        <v>53763.033397439889</v>
      </c>
      <c r="D378" s="13">
        <f t="shared" si="32"/>
        <v>1072.4856461539562</v>
      </c>
      <c r="E378" s="13">
        <f t="shared" si="33"/>
        <v>960.47932657595641</v>
      </c>
      <c r="F378" s="13">
        <f t="shared" si="34"/>
        <v>112.00631957799976</v>
      </c>
      <c r="G378" s="12">
        <f t="shared" si="35"/>
        <v>52802.554070863931</v>
      </c>
    </row>
    <row r="379" spans="2:7" x14ac:dyDescent="0.3">
      <c r="B379" s="11">
        <f t="shared" si="30"/>
        <v>57224</v>
      </c>
      <c r="C379" s="12">
        <f t="shared" si="31"/>
        <v>52802.554070863931</v>
      </c>
      <c r="D379" s="13">
        <f t="shared" si="32"/>
        <v>1072.4856461539562</v>
      </c>
      <c r="E379" s="13">
        <f t="shared" si="33"/>
        <v>962.48032517298964</v>
      </c>
      <c r="F379" s="13">
        <f t="shared" si="34"/>
        <v>110.00532098096652</v>
      </c>
      <c r="G379" s="12">
        <f t="shared" si="35"/>
        <v>51840.073745690941</v>
      </c>
    </row>
    <row r="380" spans="2:7" x14ac:dyDescent="0.3">
      <c r="B380" s="11">
        <f t="shared" si="30"/>
        <v>57254</v>
      </c>
      <c r="C380" s="12">
        <f t="shared" si="31"/>
        <v>51840.073745690941</v>
      </c>
      <c r="D380" s="13">
        <f t="shared" si="32"/>
        <v>1072.4856461539562</v>
      </c>
      <c r="E380" s="13">
        <f t="shared" si="33"/>
        <v>964.48549251710006</v>
      </c>
      <c r="F380" s="13">
        <f t="shared" si="34"/>
        <v>108.00015363685613</v>
      </c>
      <c r="G380" s="12">
        <f t="shared" si="35"/>
        <v>50875.588253173839</v>
      </c>
    </row>
    <row r="381" spans="2:7" x14ac:dyDescent="0.3">
      <c r="B381" s="11">
        <f t="shared" si="30"/>
        <v>57285</v>
      </c>
      <c r="C381" s="12">
        <f t="shared" si="31"/>
        <v>50875.588253173839</v>
      </c>
      <c r="D381" s="13">
        <f t="shared" si="32"/>
        <v>1072.4856461539562</v>
      </c>
      <c r="E381" s="13">
        <f t="shared" si="33"/>
        <v>966.4948372931774</v>
      </c>
      <c r="F381" s="13">
        <f t="shared" si="34"/>
        <v>105.99080886077883</v>
      </c>
      <c r="G381" s="12">
        <f t="shared" si="35"/>
        <v>49909.093415880663</v>
      </c>
    </row>
    <row r="382" spans="2:7" x14ac:dyDescent="0.3">
      <c r="B382" s="11">
        <f t="shared" si="30"/>
        <v>57315</v>
      </c>
      <c r="C382" s="12">
        <f t="shared" si="31"/>
        <v>49909.093415880663</v>
      </c>
      <c r="D382" s="13">
        <f t="shared" si="32"/>
        <v>1072.4856461539562</v>
      </c>
      <c r="E382" s="13">
        <f t="shared" si="33"/>
        <v>968.50836820420477</v>
      </c>
      <c r="F382" s="13">
        <f t="shared" si="34"/>
        <v>103.97727794975138</v>
      </c>
      <c r="G382" s="12">
        <f t="shared" si="35"/>
        <v>48940.585047676461</v>
      </c>
    </row>
    <row r="383" spans="2:7" x14ac:dyDescent="0.3">
      <c r="B383" s="11">
        <f t="shared" si="30"/>
        <v>57346</v>
      </c>
      <c r="C383" s="12">
        <f t="shared" si="31"/>
        <v>48940.585047676461</v>
      </c>
      <c r="D383" s="13">
        <f t="shared" si="32"/>
        <v>1072.4856461539562</v>
      </c>
      <c r="E383" s="13">
        <f t="shared" si="33"/>
        <v>970.52609397129686</v>
      </c>
      <c r="F383" s="13">
        <f t="shared" si="34"/>
        <v>101.95955218265929</v>
      </c>
      <c r="G383" s="12">
        <f t="shared" si="35"/>
        <v>47970.058953705164</v>
      </c>
    </row>
    <row r="384" spans="2:7" x14ac:dyDescent="0.3">
      <c r="B384" s="11">
        <f t="shared" si="30"/>
        <v>57377</v>
      </c>
      <c r="C384" s="12">
        <f t="shared" si="31"/>
        <v>47970.058953705164</v>
      </c>
      <c r="D384" s="13">
        <f t="shared" si="32"/>
        <v>1072.4856461539562</v>
      </c>
      <c r="E384" s="13">
        <f t="shared" si="33"/>
        <v>972.54802333373709</v>
      </c>
      <c r="F384" s="13">
        <f t="shared" si="34"/>
        <v>99.93762282021909</v>
      </c>
      <c r="G384" s="12">
        <f t="shared" si="35"/>
        <v>46997.510930371427</v>
      </c>
    </row>
    <row r="385" spans="2:7" x14ac:dyDescent="0.3">
      <c r="B385" s="11">
        <f t="shared" si="30"/>
        <v>57405</v>
      </c>
      <c r="C385" s="12">
        <f t="shared" si="31"/>
        <v>46997.510930371427</v>
      </c>
      <c r="D385" s="13">
        <f t="shared" si="32"/>
        <v>1072.4856461539562</v>
      </c>
      <c r="E385" s="13">
        <f t="shared" si="33"/>
        <v>974.57416504901573</v>
      </c>
      <c r="F385" s="13">
        <f t="shared" si="34"/>
        <v>97.911481104940478</v>
      </c>
      <c r="G385" s="12">
        <f t="shared" si="35"/>
        <v>46022.936765322411</v>
      </c>
    </row>
    <row r="386" spans="2:7" x14ac:dyDescent="0.3">
      <c r="B386" s="11">
        <f t="shared" si="30"/>
        <v>57436</v>
      </c>
      <c r="C386" s="12">
        <f t="shared" si="31"/>
        <v>46022.936765322411</v>
      </c>
      <c r="D386" s="13">
        <f t="shared" si="32"/>
        <v>1072.4856461539562</v>
      </c>
      <c r="E386" s="13">
        <f t="shared" si="33"/>
        <v>976.60452789286785</v>
      </c>
      <c r="F386" s="13">
        <f t="shared" si="34"/>
        <v>95.881118261088361</v>
      </c>
      <c r="G386" s="12">
        <f t="shared" si="35"/>
        <v>45046.332237429546</v>
      </c>
    </row>
    <row r="387" spans="2:7" x14ac:dyDescent="0.3">
      <c r="B387" s="11">
        <f t="shared" si="30"/>
        <v>57466</v>
      </c>
      <c r="C387" s="12">
        <f t="shared" si="31"/>
        <v>45046.332237429546</v>
      </c>
      <c r="D387" s="13">
        <f t="shared" si="32"/>
        <v>1072.4856461539562</v>
      </c>
      <c r="E387" s="13">
        <f t="shared" si="33"/>
        <v>978.63912065931129</v>
      </c>
      <c r="F387" s="13">
        <f t="shared" si="34"/>
        <v>93.846525494644879</v>
      </c>
      <c r="G387" s="12">
        <f t="shared" si="35"/>
        <v>44067.693116770235</v>
      </c>
    </row>
    <row r="388" spans="2:7" x14ac:dyDescent="0.3">
      <c r="B388" s="11">
        <f t="shared" si="30"/>
        <v>57497</v>
      </c>
      <c r="C388" s="12">
        <f t="shared" si="31"/>
        <v>44067.693116770235</v>
      </c>
      <c r="D388" s="13">
        <f t="shared" si="32"/>
        <v>1072.4856461539562</v>
      </c>
      <c r="E388" s="13">
        <f t="shared" si="33"/>
        <v>980.67795216068487</v>
      </c>
      <c r="F388" s="13">
        <f t="shared" si="34"/>
        <v>91.807693993271329</v>
      </c>
      <c r="G388" s="12">
        <f t="shared" si="35"/>
        <v>43087.015164609547</v>
      </c>
    </row>
    <row r="389" spans="2:7" x14ac:dyDescent="0.3">
      <c r="B389" s="11">
        <f t="shared" si="30"/>
        <v>57527</v>
      </c>
      <c r="C389" s="12">
        <f t="shared" si="31"/>
        <v>43087.015164609547</v>
      </c>
      <c r="D389" s="13">
        <f t="shared" si="32"/>
        <v>1072.4856461539562</v>
      </c>
      <c r="E389" s="13">
        <f t="shared" si="33"/>
        <v>982.72103122768624</v>
      </c>
      <c r="F389" s="13">
        <f t="shared" si="34"/>
        <v>89.764614926269886</v>
      </c>
      <c r="G389" s="12">
        <f t="shared" si="35"/>
        <v>42104.29413338186</v>
      </c>
    </row>
    <row r="390" spans="2:7" x14ac:dyDescent="0.3">
      <c r="B390" s="11">
        <f t="shared" si="30"/>
        <v>57558</v>
      </c>
      <c r="C390" s="12">
        <f t="shared" si="31"/>
        <v>42104.29413338186</v>
      </c>
      <c r="D390" s="13">
        <f t="shared" si="32"/>
        <v>1072.4856461539562</v>
      </c>
      <c r="E390" s="13">
        <f t="shared" si="33"/>
        <v>984.76836670941066</v>
      </c>
      <c r="F390" s="13">
        <f t="shared" si="34"/>
        <v>87.717279444545539</v>
      </c>
      <c r="G390" s="12">
        <f t="shared" si="35"/>
        <v>41119.52576667245</v>
      </c>
    </row>
    <row r="391" spans="2:7" x14ac:dyDescent="0.3">
      <c r="B391" s="11">
        <f t="shared" si="30"/>
        <v>57589</v>
      </c>
      <c r="C391" s="12">
        <f t="shared" si="31"/>
        <v>41119.52576667245</v>
      </c>
      <c r="D391" s="13">
        <f t="shared" si="32"/>
        <v>1072.4856461539562</v>
      </c>
      <c r="E391" s="13">
        <f t="shared" si="33"/>
        <v>986.8199674733886</v>
      </c>
      <c r="F391" s="13">
        <f t="shared" si="34"/>
        <v>85.665678680567609</v>
      </c>
      <c r="G391" s="12">
        <f t="shared" si="35"/>
        <v>40132.705799199059</v>
      </c>
    </row>
    <row r="392" spans="2:7" x14ac:dyDescent="0.3">
      <c r="B392" s="11">
        <f t="shared" si="30"/>
        <v>57619</v>
      </c>
      <c r="C392" s="12">
        <f t="shared" si="31"/>
        <v>40132.705799199059</v>
      </c>
      <c r="D392" s="13">
        <f t="shared" si="32"/>
        <v>1072.4856461539562</v>
      </c>
      <c r="E392" s="13">
        <f t="shared" si="33"/>
        <v>988.87584240562478</v>
      </c>
      <c r="F392" s="13">
        <f t="shared" si="34"/>
        <v>83.609803748331373</v>
      </c>
      <c r="G392" s="12">
        <f t="shared" si="35"/>
        <v>39143.829956793437</v>
      </c>
    </row>
    <row r="393" spans="2:7" x14ac:dyDescent="0.3">
      <c r="B393" s="11">
        <f t="shared" si="30"/>
        <v>57650</v>
      </c>
      <c r="C393" s="12">
        <f t="shared" si="31"/>
        <v>39143.829956793437</v>
      </c>
      <c r="D393" s="13">
        <f t="shared" si="32"/>
        <v>1072.4856461539562</v>
      </c>
      <c r="E393" s="13">
        <f t="shared" si="33"/>
        <v>990.93600041063655</v>
      </c>
      <c r="F393" s="13">
        <f t="shared" si="34"/>
        <v>81.549645743319658</v>
      </c>
      <c r="G393" s="12">
        <f t="shared" si="35"/>
        <v>38152.893956382803</v>
      </c>
    </row>
    <row r="394" spans="2:7" x14ac:dyDescent="0.3">
      <c r="B394" s="11">
        <f t="shared" si="30"/>
        <v>57680</v>
      </c>
      <c r="C394" s="12">
        <f t="shared" si="31"/>
        <v>38152.893956382803</v>
      </c>
      <c r="D394" s="13">
        <f t="shared" si="32"/>
        <v>1072.4856461539562</v>
      </c>
      <c r="E394" s="13">
        <f t="shared" si="33"/>
        <v>993.00045041149201</v>
      </c>
      <c r="F394" s="13">
        <f t="shared" si="34"/>
        <v>79.485195742464171</v>
      </c>
      <c r="G394" s="12">
        <f t="shared" si="35"/>
        <v>37159.893505971311</v>
      </c>
    </row>
    <row r="395" spans="2:7" x14ac:dyDescent="0.3">
      <c r="B395" s="11">
        <f t="shared" si="30"/>
        <v>57711</v>
      </c>
      <c r="C395" s="12">
        <f t="shared" si="31"/>
        <v>37159.893505971311</v>
      </c>
      <c r="D395" s="13">
        <f t="shared" si="32"/>
        <v>1072.4856461539562</v>
      </c>
      <c r="E395" s="13">
        <f t="shared" si="33"/>
        <v>995.06920134984921</v>
      </c>
      <c r="F395" s="13">
        <f t="shared" si="34"/>
        <v>77.416444804106902</v>
      </c>
      <c r="G395" s="12">
        <f t="shared" si="35"/>
        <v>36164.824304621463</v>
      </c>
    </row>
    <row r="396" spans="2:7" x14ac:dyDescent="0.3">
      <c r="B396" s="11">
        <f t="shared" si="30"/>
        <v>57742</v>
      </c>
      <c r="C396" s="12">
        <f t="shared" si="31"/>
        <v>36164.824304621463</v>
      </c>
      <c r="D396" s="13">
        <f t="shared" si="32"/>
        <v>1072.4856461539562</v>
      </c>
      <c r="E396" s="13">
        <f t="shared" si="33"/>
        <v>997.14226218599481</v>
      </c>
      <c r="F396" s="13">
        <f t="shared" si="34"/>
        <v>75.343383967961387</v>
      </c>
      <c r="G396" s="12">
        <f t="shared" si="35"/>
        <v>35167.682042435466</v>
      </c>
    </row>
    <row r="397" spans="2:7" x14ac:dyDescent="0.3">
      <c r="B397" s="11">
        <f t="shared" ref="B397:B430" si="36">EDATE(B396,1)</f>
        <v>57770</v>
      </c>
      <c r="C397" s="12">
        <f t="shared" ref="C397:C430" si="37">G396</f>
        <v>35167.682042435466</v>
      </c>
      <c r="D397" s="13">
        <f t="shared" ref="D397:D430" si="38">IF(G396&lt;=0.1,0,-PMT($C$6,$C$7,$C$3))</f>
        <v>1072.4856461539562</v>
      </c>
      <c r="E397" s="13">
        <f t="shared" ref="E397:E430" si="39">D397-F397</f>
        <v>999.21964189888229</v>
      </c>
      <c r="F397" s="13">
        <f t="shared" ref="F397:F430" si="40">C397*$C$6</f>
        <v>73.266004255073881</v>
      </c>
      <c r="G397" s="12">
        <f t="shared" ref="G397:G430" si="41">C397-E397</f>
        <v>34168.462400536584</v>
      </c>
    </row>
    <row r="398" spans="2:7" x14ac:dyDescent="0.3">
      <c r="B398" s="11">
        <f t="shared" si="36"/>
        <v>57801</v>
      </c>
      <c r="C398" s="12">
        <f t="shared" si="37"/>
        <v>34168.462400536584</v>
      </c>
      <c r="D398" s="13">
        <f t="shared" si="38"/>
        <v>1072.4856461539562</v>
      </c>
      <c r="E398" s="13">
        <f t="shared" si="39"/>
        <v>1001.3013494861716</v>
      </c>
      <c r="F398" s="13">
        <f t="shared" si="40"/>
        <v>71.184296667784551</v>
      </c>
      <c r="G398" s="12">
        <f t="shared" si="41"/>
        <v>33167.161051050411</v>
      </c>
    </row>
    <row r="399" spans="2:7" x14ac:dyDescent="0.3">
      <c r="B399" s="11">
        <f t="shared" si="36"/>
        <v>57831</v>
      </c>
      <c r="C399" s="12">
        <f t="shared" si="37"/>
        <v>33167.161051050411</v>
      </c>
      <c r="D399" s="13">
        <f t="shared" si="38"/>
        <v>1072.4856461539562</v>
      </c>
      <c r="E399" s="13">
        <f t="shared" si="39"/>
        <v>1003.3873939642679</v>
      </c>
      <c r="F399" s="13">
        <f t="shared" si="40"/>
        <v>69.098252189688353</v>
      </c>
      <c r="G399" s="12">
        <f t="shared" si="41"/>
        <v>32163.773657086142</v>
      </c>
    </row>
    <row r="400" spans="2:7" x14ac:dyDescent="0.3">
      <c r="B400" s="11">
        <f t="shared" si="36"/>
        <v>57862</v>
      </c>
      <c r="C400" s="12">
        <f t="shared" si="37"/>
        <v>32163.773657086142</v>
      </c>
      <c r="D400" s="13">
        <f t="shared" si="38"/>
        <v>1072.4856461539562</v>
      </c>
      <c r="E400" s="13">
        <f t="shared" si="39"/>
        <v>1005.4777843683601</v>
      </c>
      <c r="F400" s="13">
        <f t="shared" si="40"/>
        <v>67.007861785596134</v>
      </c>
      <c r="G400" s="12">
        <f t="shared" si="41"/>
        <v>31158.295872717783</v>
      </c>
    </row>
    <row r="401" spans="2:7" x14ac:dyDescent="0.3">
      <c r="B401" s="11">
        <f t="shared" si="36"/>
        <v>57892</v>
      </c>
      <c r="C401" s="12">
        <f t="shared" si="37"/>
        <v>31158.295872717783</v>
      </c>
      <c r="D401" s="13">
        <f t="shared" si="38"/>
        <v>1072.4856461539562</v>
      </c>
      <c r="E401" s="13">
        <f t="shared" si="39"/>
        <v>1007.5725297524608</v>
      </c>
      <c r="F401" s="13">
        <f t="shared" si="40"/>
        <v>64.913116401495387</v>
      </c>
      <c r="G401" s="12">
        <f t="shared" si="41"/>
        <v>30150.723342965321</v>
      </c>
    </row>
    <row r="402" spans="2:7" x14ac:dyDescent="0.3">
      <c r="B402" s="11">
        <f t="shared" si="36"/>
        <v>57923</v>
      </c>
      <c r="C402" s="12">
        <f t="shared" si="37"/>
        <v>30150.723342965321</v>
      </c>
      <c r="D402" s="13">
        <f t="shared" si="38"/>
        <v>1072.4856461539562</v>
      </c>
      <c r="E402" s="13">
        <f t="shared" si="39"/>
        <v>1009.671639189445</v>
      </c>
      <c r="F402" s="13">
        <f t="shared" si="40"/>
        <v>62.814006964511087</v>
      </c>
      <c r="G402" s="12">
        <f t="shared" si="41"/>
        <v>29141.051703775876</v>
      </c>
    </row>
    <row r="403" spans="2:7" x14ac:dyDescent="0.3">
      <c r="B403" s="11">
        <f t="shared" si="36"/>
        <v>57954</v>
      </c>
      <c r="C403" s="12">
        <f t="shared" si="37"/>
        <v>29141.051703775876</v>
      </c>
      <c r="D403" s="13">
        <f t="shared" si="38"/>
        <v>1072.4856461539562</v>
      </c>
      <c r="E403" s="13">
        <f t="shared" si="39"/>
        <v>1011.7751217710897</v>
      </c>
      <c r="F403" s="13">
        <f t="shared" si="40"/>
        <v>60.71052438286641</v>
      </c>
      <c r="G403" s="12">
        <f t="shared" si="41"/>
        <v>28129.276582004786</v>
      </c>
    </row>
    <row r="404" spans="2:7" x14ac:dyDescent="0.3">
      <c r="B404" s="11">
        <f t="shared" si="36"/>
        <v>57984</v>
      </c>
      <c r="C404" s="12">
        <f t="shared" si="37"/>
        <v>28129.276582004786</v>
      </c>
      <c r="D404" s="13">
        <f t="shared" si="38"/>
        <v>1072.4856461539562</v>
      </c>
      <c r="E404" s="13">
        <f t="shared" si="39"/>
        <v>1013.8829866081129</v>
      </c>
      <c r="F404" s="13">
        <f t="shared" si="40"/>
        <v>58.602659545843302</v>
      </c>
      <c r="G404" s="12">
        <f t="shared" si="41"/>
        <v>27115.393595396672</v>
      </c>
    </row>
    <row r="405" spans="2:7" x14ac:dyDescent="0.3">
      <c r="B405" s="11">
        <f t="shared" si="36"/>
        <v>58015</v>
      </c>
      <c r="C405" s="12">
        <f t="shared" si="37"/>
        <v>27115.393595396672</v>
      </c>
      <c r="D405" s="13">
        <f t="shared" si="38"/>
        <v>1072.4856461539562</v>
      </c>
      <c r="E405" s="13">
        <f t="shared" si="39"/>
        <v>1015.9952428302131</v>
      </c>
      <c r="F405" s="13">
        <f t="shared" si="40"/>
        <v>56.490403323743067</v>
      </c>
      <c r="G405" s="12">
        <f t="shared" si="41"/>
        <v>26099.398352566459</v>
      </c>
    </row>
    <row r="406" spans="2:7" x14ac:dyDescent="0.3">
      <c r="B406" s="11">
        <f t="shared" si="36"/>
        <v>58045</v>
      </c>
      <c r="C406" s="12">
        <f t="shared" si="37"/>
        <v>26099.398352566459</v>
      </c>
      <c r="D406" s="13">
        <f t="shared" si="38"/>
        <v>1072.4856461539562</v>
      </c>
      <c r="E406" s="13">
        <f t="shared" si="39"/>
        <v>1018.1118995861094</v>
      </c>
      <c r="F406" s="13">
        <f t="shared" si="40"/>
        <v>54.373746567846787</v>
      </c>
      <c r="G406" s="12">
        <f t="shared" si="41"/>
        <v>25081.286452980348</v>
      </c>
    </row>
    <row r="407" spans="2:7" x14ac:dyDescent="0.3">
      <c r="B407" s="11">
        <f t="shared" si="36"/>
        <v>58076</v>
      </c>
      <c r="C407" s="12">
        <f t="shared" si="37"/>
        <v>25081.286452980348</v>
      </c>
      <c r="D407" s="13">
        <f t="shared" si="38"/>
        <v>1072.4856461539562</v>
      </c>
      <c r="E407" s="13">
        <f t="shared" si="39"/>
        <v>1020.2329660435804</v>
      </c>
      <c r="F407" s="13">
        <f t="shared" si="40"/>
        <v>52.252680110375728</v>
      </c>
      <c r="G407" s="12">
        <f t="shared" si="41"/>
        <v>24061.053486936769</v>
      </c>
    </row>
    <row r="408" spans="2:7" x14ac:dyDescent="0.3">
      <c r="B408" s="11">
        <f t="shared" si="36"/>
        <v>58107</v>
      </c>
      <c r="C408" s="12">
        <f t="shared" si="37"/>
        <v>24061.053486936769</v>
      </c>
      <c r="D408" s="13">
        <f t="shared" si="38"/>
        <v>1072.4856461539562</v>
      </c>
      <c r="E408" s="13">
        <f t="shared" si="39"/>
        <v>1022.3584513895046</v>
      </c>
      <c r="F408" s="13">
        <f t="shared" si="40"/>
        <v>50.127194764451602</v>
      </c>
      <c r="G408" s="12">
        <f t="shared" si="41"/>
        <v>23038.695035547265</v>
      </c>
    </row>
    <row r="409" spans="2:7" x14ac:dyDescent="0.3">
      <c r="B409" s="11">
        <f t="shared" si="36"/>
        <v>58135</v>
      </c>
      <c r="C409" s="12">
        <f t="shared" si="37"/>
        <v>23038.695035547265</v>
      </c>
      <c r="D409" s="13">
        <f t="shared" si="38"/>
        <v>1072.4856461539562</v>
      </c>
      <c r="E409" s="13">
        <f t="shared" si="39"/>
        <v>1024.4883648298994</v>
      </c>
      <c r="F409" s="13">
        <f t="shared" si="40"/>
        <v>47.9972813240568</v>
      </c>
      <c r="G409" s="12">
        <f t="shared" si="41"/>
        <v>22014.206670717365</v>
      </c>
    </row>
    <row r="410" spans="2:7" x14ac:dyDescent="0.3">
      <c r="B410" s="11">
        <f t="shared" si="36"/>
        <v>58166</v>
      </c>
      <c r="C410" s="12">
        <f t="shared" si="37"/>
        <v>22014.206670717365</v>
      </c>
      <c r="D410" s="13">
        <f t="shared" si="38"/>
        <v>1072.4856461539562</v>
      </c>
      <c r="E410" s="13">
        <f t="shared" si="39"/>
        <v>1026.6227155899617</v>
      </c>
      <c r="F410" s="13">
        <f t="shared" si="40"/>
        <v>45.86293056399451</v>
      </c>
      <c r="G410" s="12">
        <f t="shared" si="41"/>
        <v>20987.583955127404</v>
      </c>
    </row>
    <row r="411" spans="2:7" x14ac:dyDescent="0.3">
      <c r="B411" s="11">
        <f t="shared" si="36"/>
        <v>58196</v>
      </c>
      <c r="C411" s="12">
        <f t="shared" si="37"/>
        <v>20987.583955127404</v>
      </c>
      <c r="D411" s="13">
        <f t="shared" si="38"/>
        <v>1072.4856461539562</v>
      </c>
      <c r="E411" s="13">
        <f t="shared" si="39"/>
        <v>1028.7615129141075</v>
      </c>
      <c r="F411" s="13">
        <f t="shared" si="40"/>
        <v>43.724133239848754</v>
      </c>
      <c r="G411" s="12">
        <f t="shared" si="41"/>
        <v>19958.822442213295</v>
      </c>
    </row>
    <row r="412" spans="2:7" x14ac:dyDescent="0.3">
      <c r="B412" s="11">
        <f t="shared" si="36"/>
        <v>58227</v>
      </c>
      <c r="C412" s="12">
        <f t="shared" si="37"/>
        <v>19958.822442213295</v>
      </c>
      <c r="D412" s="13">
        <f t="shared" si="38"/>
        <v>1072.4856461539562</v>
      </c>
      <c r="E412" s="13">
        <f t="shared" si="39"/>
        <v>1030.9047660660117</v>
      </c>
      <c r="F412" s="13">
        <f t="shared" si="40"/>
        <v>41.580880087944365</v>
      </c>
      <c r="G412" s="12">
        <f t="shared" si="41"/>
        <v>18927.917676147285</v>
      </c>
    </row>
    <row r="413" spans="2:7" x14ac:dyDescent="0.3">
      <c r="B413" s="11">
        <f t="shared" si="36"/>
        <v>58257</v>
      </c>
      <c r="C413" s="12">
        <f t="shared" si="37"/>
        <v>18927.917676147285</v>
      </c>
      <c r="D413" s="13">
        <f t="shared" si="38"/>
        <v>1072.4856461539562</v>
      </c>
      <c r="E413" s="13">
        <f t="shared" si="39"/>
        <v>1033.0524843286494</v>
      </c>
      <c r="F413" s="13">
        <f t="shared" si="40"/>
        <v>39.43316182530684</v>
      </c>
      <c r="G413" s="12">
        <f t="shared" si="41"/>
        <v>17894.865191818637</v>
      </c>
    </row>
    <row r="414" spans="2:7" x14ac:dyDescent="0.3">
      <c r="B414" s="11">
        <f t="shared" si="36"/>
        <v>58288</v>
      </c>
      <c r="C414" s="12">
        <f t="shared" si="37"/>
        <v>17894.865191818637</v>
      </c>
      <c r="D414" s="13">
        <f t="shared" si="38"/>
        <v>1072.4856461539562</v>
      </c>
      <c r="E414" s="13">
        <f t="shared" si="39"/>
        <v>1035.2046770043339</v>
      </c>
      <c r="F414" s="13">
        <f t="shared" si="40"/>
        <v>37.280969149622159</v>
      </c>
      <c r="G414" s="12">
        <f t="shared" si="41"/>
        <v>16859.660514814303</v>
      </c>
    </row>
    <row r="415" spans="2:7" x14ac:dyDescent="0.3">
      <c r="B415" s="11">
        <f t="shared" si="36"/>
        <v>58319</v>
      </c>
      <c r="C415" s="12">
        <f t="shared" si="37"/>
        <v>16859.660514814303</v>
      </c>
      <c r="D415" s="13">
        <f t="shared" si="38"/>
        <v>1072.4856461539562</v>
      </c>
      <c r="E415" s="13">
        <f t="shared" si="39"/>
        <v>1037.3613534147596</v>
      </c>
      <c r="F415" s="13">
        <f t="shared" si="40"/>
        <v>35.124292739196463</v>
      </c>
      <c r="G415" s="12">
        <f t="shared" si="41"/>
        <v>15822.299161399544</v>
      </c>
    </row>
    <row r="416" spans="2:7" x14ac:dyDescent="0.3">
      <c r="B416" s="11">
        <f t="shared" si="36"/>
        <v>58349</v>
      </c>
      <c r="C416" s="12">
        <f t="shared" si="37"/>
        <v>15822.299161399544</v>
      </c>
      <c r="D416" s="13">
        <f t="shared" si="38"/>
        <v>1072.4856461539562</v>
      </c>
      <c r="E416" s="13">
        <f t="shared" si="39"/>
        <v>1039.5225229010405</v>
      </c>
      <c r="F416" s="13">
        <f t="shared" si="40"/>
        <v>32.963123252915715</v>
      </c>
      <c r="G416" s="12">
        <f t="shared" si="41"/>
        <v>14782.776638498503</v>
      </c>
    </row>
    <row r="417" spans="2:7" x14ac:dyDescent="0.3">
      <c r="B417" s="11">
        <f t="shared" si="36"/>
        <v>58380</v>
      </c>
      <c r="C417" s="12">
        <f t="shared" si="37"/>
        <v>14782.776638498503</v>
      </c>
      <c r="D417" s="13">
        <f t="shared" si="38"/>
        <v>1072.4856461539562</v>
      </c>
      <c r="E417" s="13">
        <f t="shared" si="39"/>
        <v>1041.688194823751</v>
      </c>
      <c r="F417" s="13">
        <f t="shared" si="40"/>
        <v>30.797451330205213</v>
      </c>
      <c r="G417" s="12">
        <f t="shared" si="41"/>
        <v>13741.088443674751</v>
      </c>
    </row>
    <row r="418" spans="2:7" x14ac:dyDescent="0.3">
      <c r="B418" s="11">
        <f t="shared" si="36"/>
        <v>58410</v>
      </c>
      <c r="C418" s="12">
        <f t="shared" si="37"/>
        <v>13741.088443674751</v>
      </c>
      <c r="D418" s="13">
        <f t="shared" si="38"/>
        <v>1072.4856461539562</v>
      </c>
      <c r="E418" s="13">
        <f t="shared" si="39"/>
        <v>1043.8583785629671</v>
      </c>
      <c r="F418" s="13">
        <f t="shared" si="40"/>
        <v>28.627267590989064</v>
      </c>
      <c r="G418" s="12">
        <f t="shared" si="41"/>
        <v>12697.230065111784</v>
      </c>
    </row>
    <row r="419" spans="2:7" x14ac:dyDescent="0.3">
      <c r="B419" s="11">
        <f t="shared" si="36"/>
        <v>58441</v>
      </c>
      <c r="C419" s="12">
        <f t="shared" si="37"/>
        <v>12697.230065111784</v>
      </c>
      <c r="D419" s="13">
        <f t="shared" si="38"/>
        <v>1072.4856461539562</v>
      </c>
      <c r="E419" s="13">
        <f t="shared" si="39"/>
        <v>1046.0330835183065</v>
      </c>
      <c r="F419" s="13">
        <f t="shared" si="40"/>
        <v>26.452562635649549</v>
      </c>
      <c r="G419" s="12">
        <f t="shared" si="41"/>
        <v>11651.196981593477</v>
      </c>
    </row>
    <row r="420" spans="2:7" x14ac:dyDescent="0.3">
      <c r="B420" s="11">
        <f t="shared" si="36"/>
        <v>58472</v>
      </c>
      <c r="C420" s="12">
        <f t="shared" si="37"/>
        <v>11651.196981593477</v>
      </c>
      <c r="D420" s="13">
        <f t="shared" si="38"/>
        <v>1072.4856461539562</v>
      </c>
      <c r="E420" s="13">
        <f t="shared" si="39"/>
        <v>1048.2123191089697</v>
      </c>
      <c r="F420" s="13">
        <f t="shared" si="40"/>
        <v>24.273327044986409</v>
      </c>
      <c r="G420" s="12">
        <f t="shared" si="41"/>
        <v>10602.984662484507</v>
      </c>
    </row>
    <row r="421" spans="2:7" x14ac:dyDescent="0.3">
      <c r="B421" s="11">
        <f t="shared" si="36"/>
        <v>58501</v>
      </c>
      <c r="C421" s="12">
        <f t="shared" si="37"/>
        <v>10602.984662484507</v>
      </c>
      <c r="D421" s="13">
        <f t="shared" si="38"/>
        <v>1072.4856461539562</v>
      </c>
      <c r="E421" s="13">
        <f t="shared" si="39"/>
        <v>1050.3960947737801</v>
      </c>
      <c r="F421" s="13">
        <f t="shared" si="40"/>
        <v>22.089551380176054</v>
      </c>
      <c r="G421" s="12">
        <f t="shared" si="41"/>
        <v>9552.5885677107271</v>
      </c>
    </row>
    <row r="422" spans="2:7" x14ac:dyDescent="0.3">
      <c r="B422" s="11">
        <f t="shared" si="36"/>
        <v>58532</v>
      </c>
      <c r="C422" s="12">
        <f t="shared" si="37"/>
        <v>9552.5885677107271</v>
      </c>
      <c r="D422" s="13">
        <f t="shared" si="38"/>
        <v>1072.4856461539562</v>
      </c>
      <c r="E422" s="13">
        <f t="shared" si="39"/>
        <v>1052.5844199712255</v>
      </c>
      <c r="F422" s="13">
        <f t="shared" si="40"/>
        <v>19.901226182730682</v>
      </c>
      <c r="G422" s="12">
        <f t="shared" si="41"/>
        <v>8500.0041477395025</v>
      </c>
    </row>
    <row r="423" spans="2:7" x14ac:dyDescent="0.3">
      <c r="B423" s="11">
        <f t="shared" si="36"/>
        <v>58562</v>
      </c>
      <c r="C423" s="12">
        <f t="shared" si="37"/>
        <v>8500.0041477395025</v>
      </c>
      <c r="D423" s="13">
        <f t="shared" si="38"/>
        <v>1072.4856461539562</v>
      </c>
      <c r="E423" s="13">
        <f t="shared" si="39"/>
        <v>1054.777304179499</v>
      </c>
      <c r="F423" s="13">
        <f t="shared" si="40"/>
        <v>17.708341974457298</v>
      </c>
      <c r="G423" s="12">
        <f t="shared" si="41"/>
        <v>7445.2268435600035</v>
      </c>
    </row>
    <row r="424" spans="2:7" x14ac:dyDescent="0.3">
      <c r="B424" s="11">
        <f t="shared" si="36"/>
        <v>58593</v>
      </c>
      <c r="C424" s="12">
        <f t="shared" si="37"/>
        <v>7445.2268435600035</v>
      </c>
      <c r="D424" s="13">
        <f t="shared" si="38"/>
        <v>1072.4856461539562</v>
      </c>
      <c r="E424" s="13">
        <f t="shared" si="39"/>
        <v>1056.9747568965395</v>
      </c>
      <c r="F424" s="13">
        <f t="shared" si="40"/>
        <v>15.510889257416673</v>
      </c>
      <c r="G424" s="12">
        <f t="shared" si="41"/>
        <v>6388.2520866634641</v>
      </c>
    </row>
    <row r="425" spans="2:7" x14ac:dyDescent="0.3">
      <c r="B425" s="11">
        <f t="shared" si="36"/>
        <v>58623</v>
      </c>
      <c r="C425" s="12">
        <f t="shared" si="37"/>
        <v>6388.2520866634641</v>
      </c>
      <c r="D425" s="13">
        <f t="shared" si="38"/>
        <v>1072.4856461539562</v>
      </c>
      <c r="E425" s="13">
        <f t="shared" si="39"/>
        <v>1059.1767876400741</v>
      </c>
      <c r="F425" s="13">
        <f t="shared" si="40"/>
        <v>13.308858513882216</v>
      </c>
      <c r="G425" s="12">
        <f t="shared" si="41"/>
        <v>5329.0752990233905</v>
      </c>
    </row>
    <row r="426" spans="2:7" x14ac:dyDescent="0.3">
      <c r="B426" s="11">
        <f t="shared" si="36"/>
        <v>58654</v>
      </c>
      <c r="C426" s="12">
        <f t="shared" si="37"/>
        <v>5329.0752990233905</v>
      </c>
      <c r="D426" s="13">
        <f t="shared" si="38"/>
        <v>1072.4856461539562</v>
      </c>
      <c r="E426" s="13">
        <f t="shared" si="39"/>
        <v>1061.3834059476574</v>
      </c>
      <c r="F426" s="13">
        <f t="shared" si="40"/>
        <v>11.102240206298729</v>
      </c>
      <c r="G426" s="12">
        <f t="shared" si="41"/>
        <v>4267.6918930757329</v>
      </c>
    </row>
    <row r="427" spans="2:7" x14ac:dyDescent="0.3">
      <c r="B427" s="11">
        <f t="shared" si="36"/>
        <v>58685</v>
      </c>
      <c r="C427" s="12">
        <f t="shared" si="37"/>
        <v>4267.6918930757329</v>
      </c>
      <c r="D427" s="13">
        <f t="shared" si="38"/>
        <v>1072.4856461539562</v>
      </c>
      <c r="E427" s="13">
        <f t="shared" si="39"/>
        <v>1063.5946213767152</v>
      </c>
      <c r="F427" s="13">
        <f t="shared" si="40"/>
        <v>8.8910247772411104</v>
      </c>
      <c r="G427" s="12">
        <f t="shared" si="41"/>
        <v>3204.0972716990177</v>
      </c>
    </row>
    <row r="428" spans="2:7" x14ac:dyDescent="0.3">
      <c r="B428" s="11">
        <f t="shared" si="36"/>
        <v>58715</v>
      </c>
      <c r="C428" s="12">
        <f t="shared" si="37"/>
        <v>3204.0972716990177</v>
      </c>
      <c r="D428" s="13">
        <f t="shared" si="38"/>
        <v>1072.4856461539562</v>
      </c>
      <c r="E428" s="13">
        <f t="shared" si="39"/>
        <v>1065.8104435045832</v>
      </c>
      <c r="F428" s="13">
        <f t="shared" si="40"/>
        <v>6.6752026493729533</v>
      </c>
      <c r="G428" s="12">
        <f t="shared" si="41"/>
        <v>2138.2868281944347</v>
      </c>
    </row>
    <row r="429" spans="2:7" x14ac:dyDescent="0.3">
      <c r="B429" s="11">
        <f t="shared" si="36"/>
        <v>58746</v>
      </c>
      <c r="C429" s="12">
        <f t="shared" si="37"/>
        <v>2138.2868281944347</v>
      </c>
      <c r="D429" s="13">
        <f t="shared" si="38"/>
        <v>1072.4856461539562</v>
      </c>
      <c r="E429" s="13">
        <f t="shared" si="39"/>
        <v>1068.030881928551</v>
      </c>
      <c r="F429" s="13">
        <f t="shared" si="40"/>
        <v>4.4547642254050723</v>
      </c>
      <c r="G429" s="12">
        <f t="shared" si="41"/>
        <v>1070.2559462658837</v>
      </c>
    </row>
    <row r="430" spans="2:7" x14ac:dyDescent="0.3">
      <c r="B430" s="11">
        <f t="shared" si="36"/>
        <v>58776</v>
      </c>
      <c r="C430" s="12">
        <f t="shared" si="37"/>
        <v>1070.2559462658837</v>
      </c>
      <c r="D430" s="13">
        <f t="shared" si="38"/>
        <v>1072.4856461539562</v>
      </c>
      <c r="E430" s="13">
        <f t="shared" si="39"/>
        <v>1070.2559462659021</v>
      </c>
      <c r="F430" s="13">
        <f t="shared" si="40"/>
        <v>2.2296998880539243</v>
      </c>
      <c r="G430" s="12">
        <f t="shared" si="41"/>
        <v>-1.8417267710901797E-11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Mutuo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francesco di pietro</dc:creator>
  <cp:lastModifiedBy>francesco di pietro</cp:lastModifiedBy>
  <dcterms:created xsi:type="dcterms:W3CDTF">2026-01-09T13:57:48Z</dcterms:created>
  <dcterms:modified xsi:type="dcterms:W3CDTF">2026-01-09T17:38:25Z</dcterms:modified>
</cp:coreProperties>
</file>