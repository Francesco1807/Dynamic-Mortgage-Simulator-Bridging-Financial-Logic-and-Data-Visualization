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3A70EF8-1CEA-43D7-97E2-C8DEB8D8AE20}" xr6:coauthVersionLast="47" xr6:coauthVersionMax="47" xr10:uidLastSave="{00000000-0000-0000-0000-000000000000}"/>
  <bookViews>
    <workbookView xWindow="3864" yWindow="3360" windowWidth="17280" windowHeight="8880" xr2:uid="{84D52671-9BE4-4FC6-83EE-B8296F878E14}"/>
  </bookViews>
  <sheets>
    <sheet name="Mutu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C6" i="1"/>
  <c r="C7" i="1"/>
  <c r="F11" i="1" l="1"/>
  <c r="D11" i="1"/>
  <c r="E11" i="1" s="1"/>
  <c r="G11" i="1" s="1"/>
  <c r="D12" i="1" s="1"/>
  <c r="C12" i="1" l="1"/>
  <c r="F12" i="1" s="1"/>
  <c r="E12" i="1" s="1"/>
  <c r="G12" i="1" s="1"/>
  <c r="D13" i="1" s="1"/>
  <c r="C13" i="1" l="1"/>
  <c r="F13" i="1" s="1"/>
  <c r="E13" i="1" s="1"/>
  <c r="G13" i="1" s="1"/>
  <c r="D14" i="1" s="1"/>
  <c r="C14" i="1" l="1"/>
  <c r="F14" i="1" s="1"/>
  <c r="E14" i="1" l="1"/>
  <c r="G14" i="1" s="1"/>
  <c r="D15" i="1" s="1"/>
  <c r="C15" i="1" l="1"/>
  <c r="F15" i="1" s="1"/>
  <c r="E15" i="1" l="1"/>
  <c r="G15" i="1"/>
  <c r="D16" i="1" s="1"/>
  <c r="C16" i="1" l="1"/>
  <c r="F16" i="1" s="1"/>
  <c r="E16" i="1" l="1"/>
  <c r="G16" i="1" s="1"/>
  <c r="D17" i="1" s="1"/>
  <c r="C17" i="1" l="1"/>
  <c r="F17" i="1" s="1"/>
  <c r="E17" i="1" l="1"/>
  <c r="G17" i="1" s="1"/>
  <c r="D18" i="1" s="1"/>
  <c r="C18" i="1" l="1"/>
  <c r="F18" i="1" s="1"/>
  <c r="E18" i="1" l="1"/>
  <c r="G18" i="1" s="1"/>
  <c r="D19" i="1" s="1"/>
  <c r="C19" i="1" l="1"/>
  <c r="F19" i="1" s="1"/>
  <c r="E19" i="1" l="1"/>
  <c r="G19" i="1" s="1"/>
  <c r="D20" i="1" s="1"/>
  <c r="C20" i="1" l="1"/>
  <c r="F20" i="1" s="1"/>
  <c r="E20" i="1" l="1"/>
  <c r="G20" i="1" s="1"/>
  <c r="D21" i="1" s="1"/>
  <c r="C21" i="1" l="1"/>
  <c r="F21" i="1" s="1"/>
  <c r="E21" i="1" l="1"/>
  <c r="G21" i="1" s="1"/>
  <c r="D22" i="1" s="1"/>
  <c r="C22" i="1" l="1"/>
  <c r="F22" i="1" s="1"/>
  <c r="E22" i="1" l="1"/>
  <c r="G22" i="1" s="1"/>
  <c r="D23" i="1" s="1"/>
  <c r="C23" i="1" l="1"/>
  <c r="F23" i="1" s="1"/>
  <c r="E23" i="1" l="1"/>
  <c r="G23" i="1" s="1"/>
  <c r="D24" i="1" s="1"/>
  <c r="C24" i="1" l="1"/>
  <c r="F24" i="1" s="1"/>
  <c r="E24" i="1" l="1"/>
  <c r="G24" i="1" s="1"/>
  <c r="D25" i="1" s="1"/>
  <c r="C25" i="1" l="1"/>
  <c r="F25" i="1" s="1"/>
  <c r="E25" i="1" l="1"/>
  <c r="G25" i="1" s="1"/>
  <c r="D26" i="1" s="1"/>
  <c r="C26" i="1" l="1"/>
  <c r="F26" i="1" s="1"/>
  <c r="E26" i="1" l="1"/>
  <c r="G26" i="1" s="1"/>
  <c r="D27" i="1" s="1"/>
  <c r="C27" i="1" l="1"/>
  <c r="F27" i="1" s="1"/>
  <c r="E27" i="1" l="1"/>
  <c r="G27" i="1" s="1"/>
  <c r="D28" i="1" s="1"/>
  <c r="C28" i="1" l="1"/>
  <c r="F28" i="1" s="1"/>
  <c r="E28" i="1" l="1"/>
  <c r="G28" i="1" s="1"/>
  <c r="D29" i="1" s="1"/>
  <c r="C29" i="1" l="1"/>
  <c r="F29" i="1" s="1"/>
  <c r="E29" i="1" l="1"/>
  <c r="G29" i="1" s="1"/>
  <c r="D30" i="1" s="1"/>
  <c r="C30" i="1" l="1"/>
  <c r="F30" i="1" s="1"/>
  <c r="E30" i="1" l="1"/>
  <c r="G30" i="1" s="1"/>
  <c r="D31" i="1" s="1"/>
  <c r="C31" i="1" l="1"/>
  <c r="F31" i="1" s="1"/>
  <c r="E31" i="1" l="1"/>
  <c r="G31" i="1" s="1"/>
  <c r="D32" i="1" s="1"/>
  <c r="C32" i="1" l="1"/>
  <c r="F32" i="1" s="1"/>
  <c r="E32" i="1" l="1"/>
  <c r="G32" i="1" s="1"/>
  <c r="D33" i="1" s="1"/>
  <c r="C33" i="1" l="1"/>
  <c r="F33" i="1" s="1"/>
  <c r="E33" i="1" l="1"/>
  <c r="G33" i="1" s="1"/>
  <c r="D34" i="1" s="1"/>
  <c r="C34" i="1" l="1"/>
  <c r="F34" i="1" s="1"/>
  <c r="E34" i="1" l="1"/>
  <c r="G34" i="1" s="1"/>
  <c r="D35" i="1" s="1"/>
  <c r="C35" i="1" l="1"/>
  <c r="F35" i="1" s="1"/>
  <c r="E35" i="1" l="1"/>
  <c r="G35" i="1" s="1"/>
  <c r="D36" i="1" s="1"/>
  <c r="C36" i="1" l="1"/>
  <c r="F36" i="1" s="1"/>
  <c r="E36" i="1" l="1"/>
  <c r="G36" i="1" s="1"/>
  <c r="D37" i="1" s="1"/>
  <c r="C37" i="1" l="1"/>
  <c r="F37" i="1" s="1"/>
  <c r="E37" i="1" l="1"/>
  <c r="G37" i="1" s="1"/>
  <c r="D38" i="1" s="1"/>
  <c r="C38" i="1" l="1"/>
  <c r="F38" i="1" s="1"/>
  <c r="E38" i="1" l="1"/>
  <c r="G38" i="1" s="1"/>
  <c r="D39" i="1" s="1"/>
  <c r="C39" i="1" l="1"/>
  <c r="F39" i="1" s="1"/>
  <c r="E39" i="1" l="1"/>
  <c r="G39" i="1" s="1"/>
  <c r="D40" i="1" s="1"/>
  <c r="C40" i="1" l="1"/>
  <c r="F40" i="1" s="1"/>
  <c r="E40" i="1" l="1"/>
  <c r="G40" i="1" s="1"/>
  <c r="D41" i="1" s="1"/>
  <c r="C41" i="1" l="1"/>
  <c r="F41" i="1" s="1"/>
  <c r="E41" i="1" l="1"/>
  <c r="G41" i="1" s="1"/>
  <c r="D42" i="1" s="1"/>
  <c r="C42" i="1" l="1"/>
  <c r="F42" i="1" s="1"/>
  <c r="E42" i="1" l="1"/>
  <c r="G42" i="1" s="1"/>
  <c r="D43" i="1" s="1"/>
  <c r="C43" i="1" l="1"/>
  <c r="F43" i="1" s="1"/>
  <c r="E43" i="1" l="1"/>
  <c r="G43" i="1" s="1"/>
  <c r="D44" i="1" s="1"/>
  <c r="C44" i="1" l="1"/>
  <c r="F44" i="1" s="1"/>
  <c r="E44" i="1" l="1"/>
  <c r="G44" i="1" s="1"/>
  <c r="D45" i="1" s="1"/>
  <c r="C45" i="1" l="1"/>
  <c r="F45" i="1" s="1"/>
  <c r="E45" i="1" l="1"/>
  <c r="G45" i="1" s="1"/>
  <c r="D46" i="1" s="1"/>
  <c r="C46" i="1" l="1"/>
  <c r="F46" i="1" l="1"/>
  <c r="E46" i="1" s="1"/>
  <c r="G46" i="1" s="1"/>
  <c r="D47" i="1" s="1"/>
  <c r="C47" i="1" l="1"/>
  <c r="F47" i="1" s="1"/>
  <c r="E47" i="1" l="1"/>
  <c r="G47" i="1" s="1"/>
  <c r="D48" i="1" s="1"/>
  <c r="C48" i="1" l="1"/>
  <c r="F48" i="1" s="1"/>
  <c r="E48" i="1" l="1"/>
  <c r="G48" i="1" s="1"/>
  <c r="D49" i="1" s="1"/>
  <c r="C49" i="1" l="1"/>
  <c r="F49" i="1" l="1"/>
  <c r="E49" i="1" s="1"/>
  <c r="G49" i="1" s="1"/>
  <c r="D50" i="1" s="1"/>
  <c r="C50" i="1" l="1"/>
  <c r="F50" i="1" l="1"/>
  <c r="E50" i="1" s="1"/>
  <c r="G50" i="1" s="1"/>
  <c r="D51" i="1" s="1"/>
  <c r="C51" i="1" l="1"/>
  <c r="F51" i="1" s="1"/>
  <c r="E51" i="1" l="1"/>
  <c r="G51" i="1" s="1"/>
  <c r="D52" i="1" s="1"/>
  <c r="C52" i="1" l="1"/>
  <c r="F52" i="1" s="1"/>
  <c r="E52" i="1" l="1"/>
  <c r="G52" i="1" s="1"/>
  <c r="D53" i="1" s="1"/>
  <c r="C53" i="1" l="1"/>
  <c r="F53" i="1" s="1"/>
  <c r="E53" i="1" l="1"/>
  <c r="G53" i="1" s="1"/>
  <c r="D54" i="1" s="1"/>
  <c r="C54" i="1" l="1"/>
  <c r="F54" i="1" s="1"/>
  <c r="E54" i="1" l="1"/>
  <c r="G54" i="1" s="1"/>
  <c r="D55" i="1" s="1"/>
  <c r="C55" i="1" l="1"/>
  <c r="F55" i="1" s="1"/>
  <c r="E55" i="1" l="1"/>
  <c r="G55" i="1" s="1"/>
  <c r="D56" i="1" s="1"/>
  <c r="C56" i="1" l="1"/>
  <c r="F56" i="1" s="1"/>
  <c r="E56" i="1" l="1"/>
  <c r="G56" i="1" s="1"/>
  <c r="D57" i="1" s="1"/>
  <c r="C57" i="1" l="1"/>
  <c r="F57" i="1" s="1"/>
  <c r="E57" i="1" l="1"/>
  <c r="G57" i="1" s="1"/>
  <c r="D58" i="1" s="1"/>
  <c r="C58" i="1" l="1"/>
  <c r="F58" i="1" s="1"/>
  <c r="E58" i="1" l="1"/>
  <c r="G58" i="1" s="1"/>
  <c r="D59" i="1" s="1"/>
  <c r="C59" i="1" l="1"/>
  <c r="F59" i="1" s="1"/>
  <c r="E59" i="1" l="1"/>
  <c r="G59" i="1" s="1"/>
  <c r="D60" i="1" s="1"/>
  <c r="C60" i="1" l="1"/>
  <c r="F60" i="1" s="1"/>
  <c r="E60" i="1" l="1"/>
  <c r="G60" i="1" s="1"/>
  <c r="D61" i="1" s="1"/>
  <c r="C61" i="1" l="1"/>
  <c r="F61" i="1" s="1"/>
  <c r="E61" i="1" l="1"/>
  <c r="G61" i="1" s="1"/>
  <c r="D62" i="1" s="1"/>
  <c r="C62" i="1" l="1"/>
  <c r="F62" i="1" s="1"/>
  <c r="E62" i="1" l="1"/>
  <c r="G62" i="1" s="1"/>
  <c r="D63" i="1" s="1"/>
  <c r="C63" i="1" l="1"/>
  <c r="F63" i="1" s="1"/>
  <c r="E63" i="1" l="1"/>
  <c r="G63" i="1" s="1"/>
  <c r="D64" i="1" s="1"/>
  <c r="C64" i="1" l="1"/>
  <c r="F64" i="1" s="1"/>
  <c r="E64" i="1" l="1"/>
  <c r="G64" i="1" s="1"/>
  <c r="D65" i="1" s="1"/>
  <c r="C65" i="1" l="1"/>
  <c r="F65" i="1" s="1"/>
  <c r="E65" i="1" l="1"/>
  <c r="G65" i="1" s="1"/>
  <c r="D66" i="1" s="1"/>
  <c r="C66" i="1" l="1"/>
  <c r="F66" i="1" s="1"/>
  <c r="E66" i="1" l="1"/>
  <c r="G66" i="1" s="1"/>
  <c r="D67" i="1" s="1"/>
  <c r="C67" i="1" l="1"/>
  <c r="F67" i="1" s="1"/>
  <c r="E67" i="1" l="1"/>
  <c r="G67" i="1" s="1"/>
  <c r="D68" i="1" s="1"/>
  <c r="C68" i="1" l="1"/>
  <c r="F68" i="1" s="1"/>
  <c r="E68" i="1" l="1"/>
  <c r="G68" i="1" s="1"/>
  <c r="D69" i="1" s="1"/>
  <c r="C69" i="1" l="1"/>
  <c r="F69" i="1" s="1"/>
  <c r="E69" i="1" l="1"/>
  <c r="G69" i="1" s="1"/>
  <c r="D70" i="1" s="1"/>
  <c r="C70" i="1" l="1"/>
  <c r="F70" i="1" s="1"/>
  <c r="E70" i="1" l="1"/>
  <c r="G70" i="1" s="1"/>
  <c r="D71" i="1" s="1"/>
  <c r="C71" i="1" l="1"/>
  <c r="F71" i="1" s="1"/>
  <c r="E71" i="1" l="1"/>
  <c r="G71" i="1" s="1"/>
  <c r="D72" i="1" s="1"/>
  <c r="C72" i="1" l="1"/>
  <c r="F72" i="1" s="1"/>
  <c r="E72" i="1" l="1"/>
  <c r="G72" i="1" s="1"/>
  <c r="D73" i="1" s="1"/>
  <c r="C73" i="1" l="1"/>
  <c r="F73" i="1" s="1"/>
  <c r="E73" i="1" l="1"/>
  <c r="G73" i="1" s="1"/>
  <c r="D74" i="1" s="1"/>
  <c r="C74" i="1" l="1"/>
  <c r="F74" i="1" s="1"/>
  <c r="E74" i="1" l="1"/>
  <c r="G74" i="1" s="1"/>
  <c r="D75" i="1" s="1"/>
  <c r="C75" i="1" l="1"/>
  <c r="F75" i="1" s="1"/>
  <c r="E75" i="1" l="1"/>
  <c r="G75" i="1" s="1"/>
  <c r="D76" i="1" s="1"/>
  <c r="C76" i="1" l="1"/>
  <c r="F76" i="1" s="1"/>
  <c r="E76" i="1" l="1"/>
  <c r="G76" i="1" s="1"/>
  <c r="D77" i="1" s="1"/>
  <c r="C77" i="1" l="1"/>
  <c r="F77" i="1" s="1"/>
  <c r="E77" i="1" l="1"/>
  <c r="G77" i="1" s="1"/>
  <c r="D78" i="1" s="1"/>
  <c r="C78" i="1" l="1"/>
  <c r="F78" i="1" s="1"/>
  <c r="E78" i="1" l="1"/>
  <c r="G78" i="1" s="1"/>
  <c r="D79" i="1" s="1"/>
  <c r="C79" i="1" l="1"/>
  <c r="F79" i="1" s="1"/>
  <c r="E79" i="1" l="1"/>
  <c r="G79" i="1" s="1"/>
  <c r="D80" i="1" s="1"/>
  <c r="C80" i="1" l="1"/>
  <c r="F80" i="1" s="1"/>
  <c r="E80" i="1" l="1"/>
  <c r="G80" i="1" s="1"/>
  <c r="D81" i="1" s="1"/>
  <c r="C81" i="1" l="1"/>
  <c r="F81" i="1" s="1"/>
  <c r="E81" i="1" l="1"/>
  <c r="G81" i="1" s="1"/>
  <c r="D82" i="1" s="1"/>
  <c r="C82" i="1" l="1"/>
  <c r="F82" i="1" s="1"/>
  <c r="E82" i="1" l="1"/>
  <c r="G82" i="1" s="1"/>
  <c r="D83" i="1" s="1"/>
  <c r="C83" i="1" l="1"/>
  <c r="F83" i="1" s="1"/>
  <c r="E83" i="1" l="1"/>
  <c r="G83" i="1" s="1"/>
  <c r="D84" i="1" s="1"/>
  <c r="C84" i="1" l="1"/>
  <c r="F84" i="1" s="1"/>
  <c r="E84" i="1" l="1"/>
  <c r="G84" i="1" s="1"/>
  <c r="D85" i="1" s="1"/>
  <c r="C85" i="1" l="1"/>
  <c r="F85" i="1" s="1"/>
  <c r="E85" i="1" l="1"/>
  <c r="G85" i="1" s="1"/>
  <c r="D86" i="1" s="1"/>
  <c r="C86" i="1" l="1"/>
  <c r="F86" i="1" l="1"/>
  <c r="E86" i="1" s="1"/>
  <c r="G86" i="1" s="1"/>
  <c r="D87" i="1" s="1"/>
  <c r="C87" i="1" l="1"/>
  <c r="F87" i="1" s="1"/>
  <c r="E87" i="1" l="1"/>
  <c r="G87" i="1" s="1"/>
  <c r="D88" i="1" s="1"/>
  <c r="C88" i="1" l="1"/>
  <c r="F88" i="1" s="1"/>
  <c r="E88" i="1" l="1"/>
  <c r="G88" i="1" s="1"/>
  <c r="D89" i="1" s="1"/>
  <c r="C89" i="1" l="1"/>
  <c r="F89" i="1" s="1"/>
  <c r="E89" i="1" l="1"/>
  <c r="G89" i="1" s="1"/>
  <c r="D90" i="1" s="1"/>
  <c r="C90" i="1" l="1"/>
  <c r="F90" i="1" s="1"/>
  <c r="E90" i="1" l="1"/>
  <c r="G90" i="1" s="1"/>
  <c r="D91" i="1" s="1"/>
  <c r="C91" i="1" l="1"/>
  <c r="F91" i="1" s="1"/>
  <c r="E91" i="1" l="1"/>
  <c r="G91" i="1" s="1"/>
  <c r="D92" i="1" s="1"/>
  <c r="C92" i="1" l="1"/>
  <c r="F92" i="1" s="1"/>
  <c r="E92" i="1" l="1"/>
  <c r="G92" i="1" s="1"/>
  <c r="D93" i="1" s="1"/>
  <c r="C93" i="1" l="1"/>
  <c r="F93" i="1" s="1"/>
  <c r="E93" i="1" l="1"/>
  <c r="G93" i="1" s="1"/>
  <c r="D94" i="1" s="1"/>
  <c r="C94" i="1" l="1"/>
  <c r="F94" i="1" s="1"/>
  <c r="E94" i="1" l="1"/>
  <c r="G94" i="1" s="1"/>
  <c r="D95" i="1" s="1"/>
  <c r="C95" i="1" l="1"/>
  <c r="F95" i="1" s="1"/>
  <c r="E95" i="1" l="1"/>
  <c r="G95" i="1" s="1"/>
  <c r="D96" i="1" s="1"/>
  <c r="C96" i="1" l="1"/>
  <c r="F96" i="1" s="1"/>
  <c r="E96" i="1" l="1"/>
  <c r="G96" i="1" s="1"/>
  <c r="D97" i="1" s="1"/>
  <c r="C97" i="1" l="1"/>
  <c r="F97" i="1" s="1"/>
  <c r="E97" i="1" l="1"/>
  <c r="G97" i="1" s="1"/>
  <c r="D98" i="1" s="1"/>
  <c r="C98" i="1" l="1"/>
  <c r="F98" i="1" l="1"/>
  <c r="E98" i="1" s="1"/>
  <c r="G98" i="1"/>
  <c r="D99" i="1" s="1"/>
  <c r="C99" i="1" l="1"/>
  <c r="F99" i="1" s="1"/>
  <c r="E99" i="1" l="1"/>
  <c r="G99" i="1" s="1"/>
  <c r="D100" i="1" s="1"/>
  <c r="C100" i="1" l="1"/>
  <c r="F100" i="1" s="1"/>
  <c r="E100" i="1" l="1"/>
  <c r="G100" i="1" s="1"/>
  <c r="D101" i="1" s="1"/>
  <c r="C101" i="1" l="1"/>
  <c r="F101" i="1" s="1"/>
  <c r="E101" i="1" l="1"/>
  <c r="G101" i="1" s="1"/>
  <c r="D102" i="1" s="1"/>
  <c r="C102" i="1" l="1"/>
  <c r="F102" i="1" s="1"/>
  <c r="E102" i="1" l="1"/>
  <c r="G102" i="1" s="1"/>
  <c r="D103" i="1" s="1"/>
  <c r="C103" i="1" l="1"/>
  <c r="F103" i="1" l="1"/>
  <c r="E103" i="1" s="1"/>
  <c r="G103" i="1"/>
  <c r="D104" i="1" s="1"/>
  <c r="C104" i="1" l="1"/>
  <c r="F104" i="1" s="1"/>
  <c r="E104" i="1" l="1"/>
  <c r="G104" i="1" s="1"/>
  <c r="D105" i="1" s="1"/>
  <c r="C105" i="1" l="1"/>
  <c r="F105" i="1" s="1"/>
  <c r="E105" i="1" l="1"/>
  <c r="G105" i="1" s="1"/>
  <c r="D106" i="1" s="1"/>
  <c r="C106" i="1" l="1"/>
  <c r="F106" i="1" s="1"/>
  <c r="E106" i="1" l="1"/>
  <c r="G106" i="1" s="1"/>
  <c r="D107" i="1" s="1"/>
  <c r="C107" i="1" l="1"/>
  <c r="F107" i="1" s="1"/>
  <c r="E107" i="1" l="1"/>
  <c r="G107" i="1" s="1"/>
  <c r="D108" i="1" s="1"/>
  <c r="C108" i="1" l="1"/>
  <c r="F108" i="1" s="1"/>
  <c r="E108" i="1" l="1"/>
  <c r="G108" i="1" s="1"/>
  <c r="D109" i="1" s="1"/>
  <c r="C109" i="1" l="1"/>
  <c r="F109" i="1" s="1"/>
  <c r="E109" i="1" l="1"/>
  <c r="G109" i="1" s="1"/>
  <c r="D110" i="1" s="1"/>
  <c r="C110" i="1" l="1"/>
  <c r="F110" i="1" s="1"/>
  <c r="E110" i="1" l="1"/>
  <c r="G110" i="1" s="1"/>
  <c r="D111" i="1" s="1"/>
  <c r="C111" i="1" l="1"/>
  <c r="F111" i="1" s="1"/>
  <c r="E111" i="1" l="1"/>
  <c r="G111" i="1" s="1"/>
  <c r="D112" i="1" s="1"/>
  <c r="C112" i="1" l="1"/>
  <c r="F112" i="1" s="1"/>
  <c r="E112" i="1" l="1"/>
  <c r="G112" i="1" s="1"/>
  <c r="D113" i="1" s="1"/>
  <c r="C113" i="1" l="1"/>
  <c r="F113" i="1" s="1"/>
  <c r="E113" i="1" l="1"/>
  <c r="G113" i="1" s="1"/>
  <c r="D114" i="1" s="1"/>
  <c r="C114" i="1" l="1"/>
  <c r="F114" i="1" s="1"/>
  <c r="E114" i="1" l="1"/>
  <c r="G114" i="1" s="1"/>
  <c r="D115" i="1" s="1"/>
  <c r="C115" i="1" l="1"/>
  <c r="F115" i="1" s="1"/>
  <c r="E115" i="1" l="1"/>
  <c r="G115" i="1" s="1"/>
  <c r="D116" i="1" s="1"/>
  <c r="C116" i="1" l="1"/>
  <c r="F116" i="1" s="1"/>
  <c r="E116" i="1" l="1"/>
  <c r="G116" i="1" s="1"/>
  <c r="D117" i="1" s="1"/>
  <c r="C117" i="1" l="1"/>
  <c r="F117" i="1" s="1"/>
  <c r="E117" i="1" l="1"/>
  <c r="G117" i="1" s="1"/>
  <c r="D118" i="1" s="1"/>
  <c r="C118" i="1" l="1"/>
  <c r="F118" i="1" s="1"/>
  <c r="E118" i="1" l="1"/>
  <c r="G118" i="1" s="1"/>
  <c r="D119" i="1" s="1"/>
  <c r="C119" i="1" l="1"/>
  <c r="F119" i="1" s="1"/>
  <c r="E119" i="1" s="1"/>
  <c r="G119" i="1" s="1"/>
  <c r="D120" i="1" s="1"/>
  <c r="C120" i="1" l="1"/>
  <c r="F120" i="1" s="1"/>
  <c r="E120" i="1" l="1"/>
  <c r="G120" i="1" s="1"/>
  <c r="D121" i="1" s="1"/>
  <c r="C121" i="1" l="1"/>
  <c r="F121" i="1" s="1"/>
  <c r="E121" i="1" l="1"/>
  <c r="G121" i="1" s="1"/>
  <c r="D122" i="1" s="1"/>
  <c r="C122" i="1" l="1"/>
  <c r="F122" i="1" s="1"/>
  <c r="E122" i="1" l="1"/>
  <c r="G122" i="1" s="1"/>
  <c r="D123" i="1" s="1"/>
  <c r="C123" i="1" l="1"/>
  <c r="F123" i="1" s="1"/>
  <c r="E123" i="1" l="1"/>
  <c r="G123" i="1" s="1"/>
  <c r="D124" i="1" s="1"/>
  <c r="C124" i="1" l="1"/>
  <c r="F124" i="1" s="1"/>
  <c r="E124" i="1" l="1"/>
  <c r="G124" i="1" s="1"/>
  <c r="D125" i="1" s="1"/>
  <c r="C125" i="1" l="1"/>
  <c r="F125" i="1" s="1"/>
  <c r="E125" i="1" l="1"/>
  <c r="G125" i="1" s="1"/>
  <c r="D126" i="1" s="1"/>
  <c r="C126" i="1" l="1"/>
  <c r="F126" i="1" s="1"/>
  <c r="E126" i="1" l="1"/>
  <c r="G126" i="1" s="1"/>
  <c r="D127" i="1" s="1"/>
  <c r="C127" i="1" l="1"/>
  <c r="F127" i="1" s="1"/>
  <c r="E127" i="1" l="1"/>
  <c r="G127" i="1" s="1"/>
  <c r="D128" i="1" s="1"/>
  <c r="C128" i="1" l="1"/>
  <c r="F128" i="1" s="1"/>
  <c r="E128" i="1" l="1"/>
  <c r="G128" i="1" s="1"/>
  <c r="D129" i="1" s="1"/>
  <c r="C129" i="1" l="1"/>
  <c r="F129" i="1" s="1"/>
  <c r="E129" i="1" l="1"/>
  <c r="G129" i="1" s="1"/>
  <c r="D130" i="1" s="1"/>
  <c r="C130" i="1" l="1"/>
  <c r="F130" i="1" s="1"/>
  <c r="E130" i="1" l="1"/>
  <c r="G130" i="1" s="1"/>
  <c r="D131" i="1" s="1"/>
  <c r="C131" i="1" l="1"/>
  <c r="F131" i="1" s="1"/>
  <c r="E131" i="1" l="1"/>
  <c r="G131" i="1" s="1"/>
  <c r="D132" i="1" s="1"/>
  <c r="C132" i="1" l="1"/>
  <c r="F132" i="1" s="1"/>
  <c r="E132" i="1" l="1"/>
  <c r="G132" i="1" s="1"/>
  <c r="D133" i="1" s="1"/>
  <c r="C133" i="1" l="1"/>
  <c r="F133" i="1" s="1"/>
  <c r="E133" i="1" l="1"/>
  <c r="G133" i="1" s="1"/>
  <c r="D134" i="1" s="1"/>
  <c r="C134" i="1" l="1"/>
  <c r="F134" i="1" s="1"/>
  <c r="E134" i="1" l="1"/>
  <c r="G134" i="1" s="1"/>
  <c r="D135" i="1" s="1"/>
  <c r="C135" i="1" l="1"/>
  <c r="F135" i="1" s="1"/>
  <c r="E135" i="1" l="1"/>
  <c r="G135" i="1" s="1"/>
  <c r="D136" i="1" s="1"/>
  <c r="C136" i="1" l="1"/>
  <c r="F136" i="1" s="1"/>
  <c r="E136" i="1" l="1"/>
  <c r="G136" i="1" s="1"/>
  <c r="D137" i="1" s="1"/>
  <c r="C137" i="1" l="1"/>
  <c r="F137" i="1" s="1"/>
  <c r="E137" i="1" l="1"/>
  <c r="G137" i="1" s="1"/>
  <c r="D138" i="1" s="1"/>
  <c r="C138" i="1" l="1"/>
  <c r="F138" i="1" s="1"/>
  <c r="E138" i="1" l="1"/>
  <c r="G138" i="1" s="1"/>
  <c r="D139" i="1" s="1"/>
  <c r="C139" i="1" l="1"/>
  <c r="F139" i="1" s="1"/>
  <c r="E139" i="1" l="1"/>
  <c r="G139" i="1" s="1"/>
  <c r="D140" i="1" s="1"/>
  <c r="C140" i="1" l="1"/>
  <c r="F140" i="1" s="1"/>
  <c r="E140" i="1" l="1"/>
  <c r="G140" i="1" s="1"/>
  <c r="D141" i="1" s="1"/>
  <c r="C141" i="1"/>
  <c r="F141" i="1" s="1"/>
  <c r="E141" i="1" l="1"/>
  <c r="G141" i="1" s="1"/>
  <c r="D142" i="1" s="1"/>
  <c r="C142" i="1" l="1"/>
  <c r="F142" i="1" s="1"/>
  <c r="E142" i="1" l="1"/>
  <c r="G142" i="1" s="1"/>
  <c r="D143" i="1" s="1"/>
  <c r="C143" i="1" l="1"/>
  <c r="F143" i="1" s="1"/>
  <c r="E143" i="1" l="1"/>
  <c r="G143" i="1" s="1"/>
  <c r="D144" i="1" s="1"/>
  <c r="C144" i="1" l="1"/>
  <c r="F144" i="1" s="1"/>
  <c r="E144" i="1" l="1"/>
  <c r="G144" i="1" s="1"/>
  <c r="D145" i="1" s="1"/>
  <c r="C145" i="1" l="1"/>
  <c r="F145" i="1" s="1"/>
  <c r="E145" i="1" l="1"/>
  <c r="G145" i="1" s="1"/>
  <c r="D146" i="1" s="1"/>
  <c r="C146" i="1" l="1"/>
  <c r="F146" i="1" s="1"/>
  <c r="E146" i="1" l="1"/>
  <c r="G146" i="1" s="1"/>
  <c r="D147" i="1" s="1"/>
  <c r="C147" i="1" l="1"/>
  <c r="F147" i="1" s="1"/>
  <c r="E147" i="1" l="1"/>
  <c r="G147" i="1" s="1"/>
  <c r="D148" i="1" s="1"/>
  <c r="C148" i="1" l="1"/>
  <c r="F148" i="1" s="1"/>
  <c r="E148" i="1" l="1"/>
  <c r="G148" i="1" s="1"/>
  <c r="D149" i="1" s="1"/>
  <c r="C149" i="1" l="1"/>
  <c r="F149" i="1" l="1"/>
  <c r="E149" i="1" s="1"/>
  <c r="G149" i="1"/>
  <c r="D150" i="1" s="1"/>
  <c r="C150" i="1" l="1"/>
  <c r="F150" i="1" s="1"/>
  <c r="E150" i="1" l="1"/>
  <c r="G150" i="1" s="1"/>
  <c r="D151" i="1" s="1"/>
  <c r="C151" i="1" l="1"/>
  <c r="F151" i="1" s="1"/>
  <c r="E151" i="1" l="1"/>
  <c r="G151" i="1" s="1"/>
  <c r="D152" i="1" s="1"/>
  <c r="C152" i="1" l="1"/>
  <c r="F152" i="1" s="1"/>
  <c r="E152" i="1" l="1"/>
  <c r="G152" i="1" s="1"/>
  <c r="D153" i="1" s="1"/>
  <c r="C153" i="1" l="1"/>
  <c r="F153" i="1" s="1"/>
  <c r="E153" i="1" l="1"/>
  <c r="G153" i="1" s="1"/>
  <c r="D154" i="1" s="1"/>
  <c r="C154" i="1" l="1"/>
  <c r="F154" i="1" s="1"/>
  <c r="E154" i="1" l="1"/>
  <c r="G154" i="1" s="1"/>
  <c r="D155" i="1" s="1"/>
  <c r="C155" i="1" l="1"/>
  <c r="F155" i="1" s="1"/>
  <c r="E155" i="1" l="1"/>
  <c r="G155" i="1" s="1"/>
  <c r="D156" i="1" s="1"/>
  <c r="C156" i="1" l="1"/>
  <c r="F156" i="1" s="1"/>
  <c r="E156" i="1" l="1"/>
  <c r="G156" i="1" s="1"/>
  <c r="D157" i="1" s="1"/>
  <c r="C157" i="1" l="1"/>
  <c r="F157" i="1" l="1"/>
  <c r="E157" i="1" s="1"/>
  <c r="G157" i="1" s="1"/>
  <c r="D158" i="1" s="1"/>
  <c r="C158" i="1" l="1"/>
  <c r="F158" i="1" s="1"/>
  <c r="E158" i="1" l="1"/>
  <c r="G158" i="1" s="1"/>
  <c r="D159" i="1" s="1"/>
  <c r="C159" i="1" l="1"/>
  <c r="F159" i="1" s="1"/>
  <c r="E159" i="1" l="1"/>
  <c r="G159" i="1" s="1"/>
  <c r="D160" i="1" s="1"/>
  <c r="C160" i="1" l="1"/>
  <c r="F160" i="1" s="1"/>
  <c r="E160" i="1" l="1"/>
  <c r="G160" i="1" s="1"/>
  <c r="D161" i="1" s="1"/>
  <c r="C161" i="1" l="1"/>
  <c r="F161" i="1" s="1"/>
  <c r="E161" i="1" l="1"/>
  <c r="G161" i="1" s="1"/>
  <c r="D162" i="1" s="1"/>
  <c r="C162" i="1" l="1"/>
  <c r="F162" i="1" s="1"/>
  <c r="E162" i="1" l="1"/>
  <c r="G162" i="1" s="1"/>
  <c r="D163" i="1" s="1"/>
  <c r="C163" i="1" l="1"/>
  <c r="F163" i="1" s="1"/>
  <c r="E163" i="1" l="1"/>
  <c r="G163" i="1" s="1"/>
  <c r="D164" i="1" s="1"/>
  <c r="C164" i="1" l="1"/>
  <c r="F164" i="1" s="1"/>
  <c r="E164" i="1" l="1"/>
  <c r="G164" i="1" s="1"/>
  <c r="D165" i="1" s="1"/>
  <c r="C165" i="1" l="1"/>
  <c r="F165" i="1" s="1"/>
  <c r="E165" i="1" l="1"/>
  <c r="G165" i="1" s="1"/>
  <c r="D166" i="1" s="1"/>
  <c r="C166" i="1" l="1"/>
  <c r="F166" i="1" s="1"/>
  <c r="E166" i="1" l="1"/>
  <c r="G166" i="1" s="1"/>
  <c r="D167" i="1" s="1"/>
  <c r="C167" i="1" l="1"/>
  <c r="F167" i="1" s="1"/>
  <c r="E167" i="1" l="1"/>
  <c r="G167" i="1" s="1"/>
  <c r="D168" i="1" s="1"/>
  <c r="C168" i="1" l="1"/>
  <c r="F168" i="1" s="1"/>
  <c r="E168" i="1" l="1"/>
  <c r="G168" i="1" s="1"/>
  <c r="D169" i="1" s="1"/>
  <c r="C169" i="1" l="1"/>
  <c r="F169" i="1" s="1"/>
  <c r="E169" i="1" l="1"/>
  <c r="G169" i="1" s="1"/>
  <c r="D170" i="1" s="1"/>
  <c r="C170" i="1" l="1"/>
  <c r="F170" i="1" s="1"/>
  <c r="E170" i="1" l="1"/>
  <c r="G170" i="1" s="1"/>
  <c r="D171" i="1" s="1"/>
  <c r="C171" i="1" l="1"/>
  <c r="F171" i="1" s="1"/>
  <c r="E171" i="1" l="1"/>
  <c r="G171" i="1" s="1"/>
  <c r="D172" i="1" s="1"/>
  <c r="C172" i="1" l="1"/>
  <c r="F172" i="1" s="1"/>
  <c r="E172" i="1" l="1"/>
  <c r="G172" i="1" s="1"/>
  <c r="D173" i="1" s="1"/>
  <c r="C173" i="1" l="1"/>
  <c r="F173" i="1" s="1"/>
  <c r="E173" i="1" l="1"/>
  <c r="G173" i="1" s="1"/>
  <c r="D174" i="1" s="1"/>
  <c r="C174" i="1" l="1"/>
  <c r="F174" i="1" s="1"/>
  <c r="E174" i="1" l="1"/>
  <c r="G174" i="1" s="1"/>
  <c r="D175" i="1" s="1"/>
  <c r="C175" i="1" l="1"/>
  <c r="F175" i="1" s="1"/>
  <c r="E175" i="1" l="1"/>
  <c r="G175" i="1" s="1"/>
  <c r="D176" i="1" s="1"/>
  <c r="C176" i="1" l="1"/>
  <c r="F176" i="1" s="1"/>
  <c r="E176" i="1" l="1"/>
  <c r="G176" i="1" s="1"/>
  <c r="D177" i="1" s="1"/>
  <c r="C177" i="1" l="1"/>
  <c r="F177" i="1" s="1"/>
  <c r="E177" i="1" l="1"/>
  <c r="G177" i="1" s="1"/>
  <c r="D178" i="1" s="1"/>
  <c r="C178" i="1" l="1"/>
  <c r="F178" i="1" s="1"/>
  <c r="E178" i="1" l="1"/>
  <c r="G178" i="1" s="1"/>
  <c r="D179" i="1" s="1"/>
  <c r="C179" i="1" l="1"/>
  <c r="F179" i="1" s="1"/>
  <c r="E179" i="1" l="1"/>
  <c r="G179" i="1" s="1"/>
  <c r="D180" i="1" s="1"/>
  <c r="C180" i="1" l="1"/>
  <c r="F180" i="1" s="1"/>
  <c r="E180" i="1" l="1"/>
  <c r="G180" i="1" s="1"/>
  <c r="D181" i="1" s="1"/>
  <c r="C181" i="1" l="1"/>
  <c r="F181" i="1" s="1"/>
  <c r="E181" i="1" l="1"/>
  <c r="G181" i="1" s="1"/>
  <c r="D182" i="1" s="1"/>
  <c r="C182" i="1" l="1"/>
  <c r="F182" i="1" s="1"/>
  <c r="E182" i="1" l="1"/>
  <c r="G182" i="1" s="1"/>
  <c r="D183" i="1" s="1"/>
  <c r="C183" i="1" l="1"/>
  <c r="F183" i="1" s="1"/>
  <c r="E183" i="1" l="1"/>
  <c r="G183" i="1" s="1"/>
  <c r="D184" i="1" s="1"/>
  <c r="C184" i="1" l="1"/>
  <c r="F184" i="1" s="1"/>
  <c r="E184" i="1" l="1"/>
  <c r="G184" i="1" s="1"/>
  <c r="D185" i="1" s="1"/>
  <c r="C185" i="1" l="1"/>
  <c r="F185" i="1" s="1"/>
  <c r="E185" i="1" l="1"/>
  <c r="G185" i="1" s="1"/>
  <c r="D186" i="1" s="1"/>
  <c r="C186" i="1" l="1"/>
  <c r="F186" i="1" s="1"/>
  <c r="E186" i="1" l="1"/>
  <c r="G186" i="1" s="1"/>
  <c r="D187" i="1" s="1"/>
  <c r="C187" i="1" l="1"/>
  <c r="F187" i="1" s="1"/>
  <c r="E187" i="1" l="1"/>
  <c r="G187" i="1" s="1"/>
  <c r="D188" i="1" s="1"/>
  <c r="C188" i="1" l="1"/>
  <c r="F188" i="1" s="1"/>
  <c r="E188" i="1" l="1"/>
  <c r="G188" i="1" s="1"/>
  <c r="D189" i="1" s="1"/>
  <c r="C189" i="1" l="1"/>
  <c r="F189" i="1" s="1"/>
  <c r="E189" i="1" l="1"/>
  <c r="G189" i="1" s="1"/>
  <c r="D190" i="1" s="1"/>
  <c r="C190" i="1" l="1"/>
  <c r="F190" i="1" s="1"/>
  <c r="E190" i="1" l="1"/>
  <c r="G190" i="1" s="1"/>
  <c r="D191" i="1" s="1"/>
  <c r="C191" i="1" l="1"/>
  <c r="F191" i="1" s="1"/>
  <c r="E191" i="1" l="1"/>
  <c r="G191" i="1" s="1"/>
  <c r="D192" i="1" s="1"/>
  <c r="C192" i="1" l="1"/>
  <c r="F192" i="1" s="1"/>
  <c r="E192" i="1"/>
  <c r="G192" i="1" s="1"/>
  <c r="D193" i="1" s="1"/>
  <c r="C193" i="1" l="1"/>
  <c r="F193" i="1" s="1"/>
  <c r="E193" i="1" l="1"/>
  <c r="G193" i="1" s="1"/>
  <c r="D194" i="1" s="1"/>
  <c r="C194" i="1" l="1"/>
  <c r="F194" i="1" s="1"/>
  <c r="E194" i="1" s="1"/>
  <c r="G194" i="1" s="1"/>
  <c r="C195" i="1" l="1"/>
  <c r="F195" i="1" s="1"/>
  <c r="D195" i="1"/>
  <c r="E195" i="1" s="1"/>
  <c r="G195" i="1" s="1"/>
  <c r="D196" i="1" l="1"/>
  <c r="C196" i="1"/>
  <c r="F196" i="1" s="1"/>
  <c r="E196" i="1" l="1"/>
  <c r="G196" i="1" s="1"/>
  <c r="D197" i="1"/>
  <c r="C197" i="1"/>
  <c r="F197" i="1" s="1"/>
  <c r="E197" i="1" l="1"/>
  <c r="G197" i="1" s="1"/>
  <c r="D198" i="1" s="1"/>
  <c r="C198" i="1" l="1"/>
  <c r="F198" i="1" s="1"/>
  <c r="E198" i="1" s="1"/>
  <c r="G198" i="1" s="1"/>
  <c r="D199" i="1" l="1"/>
  <c r="C199" i="1"/>
  <c r="F199" i="1" s="1"/>
  <c r="E199" i="1" l="1"/>
  <c r="G199" i="1" s="1"/>
  <c r="D200" i="1" s="1"/>
  <c r="C200" i="1" l="1"/>
  <c r="F200" i="1" s="1"/>
  <c r="E200" i="1"/>
  <c r="G200" i="1" s="1"/>
  <c r="D201" i="1" s="1"/>
  <c r="C201" i="1" l="1"/>
  <c r="F201" i="1"/>
  <c r="E201" i="1" s="1"/>
  <c r="G201" i="1" s="1"/>
  <c r="D202" i="1" s="1"/>
  <c r="C202" i="1" l="1"/>
  <c r="F202" i="1" s="1"/>
  <c r="E202" i="1" l="1"/>
  <c r="G202" i="1" s="1"/>
  <c r="D203" i="1" s="1"/>
  <c r="C203" i="1" l="1"/>
  <c r="F203" i="1" s="1"/>
  <c r="E203" i="1" l="1"/>
  <c r="G203" i="1" s="1"/>
  <c r="D204" i="1" s="1"/>
  <c r="C204" i="1" l="1"/>
  <c r="F204" i="1" s="1"/>
  <c r="E204" i="1" l="1"/>
  <c r="G204" i="1" s="1"/>
  <c r="D205" i="1" s="1"/>
  <c r="C205" i="1" l="1"/>
  <c r="F205" i="1" s="1"/>
  <c r="E205" i="1" l="1"/>
  <c r="G205" i="1" s="1"/>
  <c r="D206" i="1" s="1"/>
  <c r="C206" i="1" l="1"/>
  <c r="F206" i="1" s="1"/>
  <c r="E206" i="1" l="1"/>
  <c r="G206" i="1" s="1"/>
  <c r="D207" i="1" s="1"/>
  <c r="C207" i="1" l="1"/>
  <c r="F207" i="1" s="1"/>
  <c r="E207" i="1" l="1"/>
  <c r="G207" i="1" s="1"/>
  <c r="D208" i="1" s="1"/>
  <c r="C208" i="1" l="1"/>
  <c r="F208" i="1" s="1"/>
  <c r="E208" i="1" l="1"/>
  <c r="G208" i="1" s="1"/>
  <c r="D209" i="1" s="1"/>
  <c r="C209" i="1" l="1"/>
  <c r="F209" i="1" s="1"/>
  <c r="E209" i="1" l="1"/>
  <c r="G209" i="1" s="1"/>
  <c r="D210" i="1" s="1"/>
  <c r="C210" i="1" l="1"/>
  <c r="F210" i="1" s="1"/>
  <c r="E210" i="1" l="1"/>
  <c r="G210" i="1" s="1"/>
  <c r="D211" i="1" s="1"/>
  <c r="C211" i="1" l="1"/>
  <c r="F211" i="1" s="1"/>
  <c r="E211" i="1" l="1"/>
  <c r="G211" i="1" s="1"/>
  <c r="D212" i="1" s="1"/>
  <c r="C212" i="1" l="1"/>
  <c r="F212" i="1" s="1"/>
  <c r="E212" i="1" l="1"/>
  <c r="G212" i="1" s="1"/>
  <c r="D213" i="1" s="1"/>
  <c r="C213" i="1" l="1"/>
  <c r="F213" i="1" s="1"/>
  <c r="E213" i="1" l="1"/>
  <c r="G213" i="1" s="1"/>
  <c r="D214" i="1" s="1"/>
  <c r="C214" i="1" l="1"/>
  <c r="F214" i="1" s="1"/>
  <c r="E214" i="1" l="1"/>
  <c r="G214" i="1" s="1"/>
  <c r="D215" i="1" s="1"/>
  <c r="C215" i="1" l="1"/>
  <c r="F215" i="1" s="1"/>
  <c r="E215" i="1" l="1"/>
  <c r="G215" i="1" s="1"/>
  <c r="D216" i="1" s="1"/>
  <c r="C216" i="1" l="1"/>
  <c r="F216" i="1" s="1"/>
  <c r="E216" i="1" l="1"/>
  <c r="G216" i="1" s="1"/>
  <c r="D217" i="1" s="1"/>
  <c r="C217" i="1" l="1"/>
  <c r="F217" i="1" s="1"/>
  <c r="E217" i="1" l="1"/>
  <c r="G217" i="1" s="1"/>
  <c r="D218" i="1" s="1"/>
  <c r="C218" i="1" l="1"/>
  <c r="F218" i="1" s="1"/>
  <c r="E218" i="1" l="1"/>
  <c r="G218" i="1" s="1"/>
  <c r="D219" i="1" s="1"/>
  <c r="C219" i="1" l="1"/>
  <c r="F219" i="1" s="1"/>
  <c r="E219" i="1" l="1"/>
  <c r="G219" i="1" s="1"/>
  <c r="D220" i="1" s="1"/>
  <c r="C220" i="1" l="1"/>
  <c r="F220" i="1" s="1"/>
  <c r="E220" i="1" l="1"/>
  <c r="G220" i="1" s="1"/>
  <c r="D221" i="1" s="1"/>
  <c r="C221" i="1" l="1"/>
  <c r="F221" i="1" s="1"/>
  <c r="E221" i="1" l="1"/>
  <c r="G221" i="1" s="1"/>
  <c r="D222" i="1" s="1"/>
  <c r="C222" i="1" l="1"/>
  <c r="F222" i="1" s="1"/>
  <c r="E222" i="1" l="1"/>
  <c r="G222" i="1" s="1"/>
  <c r="D223" i="1" s="1"/>
  <c r="C223" i="1" l="1"/>
  <c r="F223" i="1" s="1"/>
  <c r="E223" i="1" l="1"/>
  <c r="G223" i="1" s="1"/>
  <c r="D224" i="1" s="1"/>
  <c r="C224" i="1" l="1"/>
  <c r="F224" i="1" s="1"/>
  <c r="E224" i="1" l="1"/>
  <c r="G224" i="1" s="1"/>
  <c r="D225" i="1" s="1"/>
  <c r="C225" i="1" l="1"/>
  <c r="F225" i="1" s="1"/>
  <c r="E225" i="1" l="1"/>
  <c r="G225" i="1" s="1"/>
  <c r="D226" i="1" s="1"/>
  <c r="C226" i="1" l="1"/>
  <c r="F226" i="1" s="1"/>
  <c r="E226" i="1" l="1"/>
  <c r="G226" i="1" s="1"/>
  <c r="D227" i="1" s="1"/>
  <c r="C227" i="1" l="1"/>
  <c r="F227" i="1" s="1"/>
  <c r="E227" i="1" l="1"/>
  <c r="G227" i="1" s="1"/>
  <c r="D228" i="1" s="1"/>
  <c r="C228" i="1" l="1"/>
  <c r="F228" i="1" s="1"/>
  <c r="E228" i="1" l="1"/>
  <c r="G228" i="1" s="1"/>
  <c r="D229" i="1" s="1"/>
  <c r="C229" i="1" l="1"/>
  <c r="F229" i="1" s="1"/>
  <c r="E229" i="1" l="1"/>
  <c r="G229" i="1" s="1"/>
  <c r="D230" i="1" s="1"/>
  <c r="C230" i="1" l="1"/>
  <c r="F230" i="1" s="1"/>
  <c r="E230" i="1" l="1"/>
  <c r="G230" i="1" s="1"/>
  <c r="D231" i="1" s="1"/>
  <c r="C231" i="1" l="1"/>
  <c r="F231" i="1" l="1"/>
  <c r="E231" i="1" l="1"/>
  <c r="G231" i="1" l="1"/>
  <c r="D232" i="1" s="1"/>
  <c r="C232" i="1" l="1"/>
  <c r="F232" i="1" s="1"/>
  <c r="E232" i="1" l="1"/>
  <c r="G232" i="1" l="1"/>
  <c r="D233" i="1" s="1"/>
  <c r="C233" i="1" l="1"/>
  <c r="F233" i="1" s="1"/>
  <c r="E233" i="1" l="1"/>
  <c r="G233" i="1" l="1"/>
  <c r="D234" i="1" s="1"/>
  <c r="C234" i="1" l="1"/>
  <c r="F234" i="1" s="1"/>
  <c r="E234" i="1" l="1"/>
  <c r="G234" i="1" l="1"/>
  <c r="D235" i="1" s="1"/>
  <c r="C235" i="1" l="1"/>
  <c r="F235" i="1" s="1"/>
  <c r="E235" i="1" l="1"/>
  <c r="G235" i="1" l="1"/>
  <c r="D236" i="1" s="1"/>
  <c r="C236" i="1" l="1"/>
  <c r="F236" i="1" s="1"/>
  <c r="E236" i="1" l="1"/>
  <c r="G236" i="1" s="1"/>
  <c r="D237" i="1" s="1"/>
  <c r="C237" i="1" l="1"/>
  <c r="F237" i="1" s="1"/>
  <c r="E237" i="1" l="1"/>
  <c r="G237" i="1" s="1"/>
  <c r="D238" i="1" s="1"/>
  <c r="C238" i="1" l="1"/>
  <c r="F238" i="1" s="1"/>
  <c r="E238" i="1" l="1"/>
  <c r="G238" i="1" s="1"/>
  <c r="D239" i="1" s="1"/>
  <c r="C239" i="1" l="1"/>
  <c r="F239" i="1" s="1"/>
  <c r="E239" i="1" l="1"/>
  <c r="G239" i="1" s="1"/>
  <c r="D240" i="1" s="1"/>
  <c r="C240" i="1" l="1"/>
  <c r="F240" i="1" s="1"/>
  <c r="E240" i="1" l="1"/>
  <c r="G240" i="1" s="1"/>
  <c r="D241" i="1" s="1"/>
  <c r="C241" i="1" l="1"/>
  <c r="F241" i="1" s="1"/>
  <c r="E241" i="1" l="1"/>
  <c r="G241" i="1" s="1"/>
  <c r="D242" i="1" s="1"/>
  <c r="C242" i="1" l="1"/>
  <c r="F242" i="1" l="1"/>
  <c r="E242" i="1" s="1"/>
  <c r="G242" i="1" s="1"/>
  <c r="D243" i="1" s="1"/>
  <c r="C243" i="1" l="1"/>
  <c r="F243" i="1" l="1"/>
  <c r="E243" i="1" s="1"/>
  <c r="G243" i="1" s="1"/>
  <c r="D244" i="1" s="1"/>
  <c r="C244" i="1" l="1"/>
  <c r="F244" i="1" s="1"/>
  <c r="E244" i="1" l="1"/>
  <c r="G244" i="1" s="1"/>
  <c r="D245" i="1" s="1"/>
  <c r="C245" i="1" l="1"/>
  <c r="F245" i="1" s="1"/>
  <c r="E245" i="1" s="1"/>
  <c r="G245" i="1" s="1"/>
  <c r="D246" i="1" s="1"/>
  <c r="C246" i="1" l="1"/>
  <c r="F246" i="1"/>
  <c r="E246" i="1" s="1"/>
  <c r="G246" i="1" s="1"/>
  <c r="D247" i="1" s="1"/>
  <c r="C247" i="1" l="1"/>
  <c r="F247" i="1" s="1"/>
  <c r="E247" i="1" l="1"/>
  <c r="G247" i="1" s="1"/>
  <c r="D248" i="1" s="1"/>
  <c r="C248" i="1" l="1"/>
  <c r="F248" i="1" l="1"/>
  <c r="E248" i="1" s="1"/>
  <c r="G248" i="1" s="1"/>
  <c r="D249" i="1" s="1"/>
  <c r="C249" i="1" l="1"/>
  <c r="F249" i="1" s="1"/>
  <c r="E249" i="1" l="1"/>
  <c r="G249" i="1" s="1"/>
  <c r="D250" i="1" s="1"/>
  <c r="C250" i="1" l="1"/>
  <c r="F250" i="1" s="1"/>
  <c r="E250" i="1" s="1"/>
  <c r="G250" i="1" s="1"/>
  <c r="D251" i="1" s="1"/>
  <c r="C251" i="1" l="1"/>
  <c r="F251" i="1" l="1"/>
  <c r="E251" i="1" s="1"/>
  <c r="G251" i="1" s="1"/>
  <c r="D252" i="1" s="1"/>
  <c r="C252" i="1" l="1"/>
  <c r="F252" i="1" s="1"/>
  <c r="E252" i="1" l="1"/>
  <c r="G252" i="1" s="1"/>
  <c r="D253" i="1" s="1"/>
  <c r="C253" i="1" l="1"/>
  <c r="F253" i="1" s="1"/>
  <c r="E253" i="1" l="1"/>
  <c r="G253" i="1" s="1"/>
  <c r="D254" i="1" s="1"/>
  <c r="C254" i="1" l="1"/>
  <c r="F254" i="1" s="1"/>
  <c r="E254" i="1" l="1"/>
  <c r="G254" i="1" s="1"/>
  <c r="D255" i="1" s="1"/>
  <c r="C255" i="1" l="1"/>
  <c r="F255" i="1" s="1"/>
  <c r="E255" i="1" l="1"/>
  <c r="G255" i="1" s="1"/>
  <c r="D256" i="1" s="1"/>
  <c r="C256" i="1" l="1"/>
  <c r="F256" i="1" s="1"/>
  <c r="E256" i="1" l="1"/>
  <c r="G256" i="1" s="1"/>
  <c r="D257" i="1" s="1"/>
  <c r="C257" i="1" l="1"/>
  <c r="F257" i="1" s="1"/>
  <c r="E257" i="1" l="1"/>
  <c r="G257" i="1" s="1"/>
  <c r="D258" i="1" s="1"/>
  <c r="C258" i="1" l="1"/>
  <c r="F258" i="1" s="1"/>
  <c r="E258" i="1" l="1"/>
  <c r="G258" i="1" s="1"/>
  <c r="D259" i="1" s="1"/>
  <c r="C259" i="1" l="1"/>
  <c r="F259" i="1" s="1"/>
  <c r="E259" i="1" l="1"/>
  <c r="G259" i="1" s="1"/>
  <c r="D260" i="1" s="1"/>
  <c r="C260" i="1" l="1"/>
  <c r="F260" i="1" s="1"/>
  <c r="E260" i="1" l="1"/>
  <c r="G260" i="1" s="1"/>
  <c r="D261" i="1" s="1"/>
  <c r="C261" i="1" l="1"/>
  <c r="F261" i="1" s="1"/>
  <c r="E261" i="1" l="1"/>
  <c r="G261" i="1" s="1"/>
  <c r="D262" i="1" s="1"/>
  <c r="C262" i="1" l="1"/>
  <c r="F262" i="1" s="1"/>
  <c r="E262" i="1" l="1"/>
  <c r="G262" i="1" s="1"/>
  <c r="D263" i="1" s="1"/>
  <c r="C263" i="1" l="1"/>
  <c r="F263" i="1" s="1"/>
  <c r="E263" i="1" l="1"/>
  <c r="G263" i="1" s="1"/>
  <c r="D264" i="1" s="1"/>
  <c r="C264" i="1" l="1"/>
  <c r="F264" i="1" l="1"/>
  <c r="E264" i="1" s="1"/>
  <c r="G264" i="1" s="1"/>
  <c r="D265" i="1" s="1"/>
  <c r="C265" i="1" l="1"/>
  <c r="F265" i="1" s="1"/>
  <c r="E265" i="1" l="1"/>
  <c r="G265" i="1" s="1"/>
  <c r="D266" i="1" s="1"/>
  <c r="C266" i="1" l="1"/>
  <c r="F266" i="1" s="1"/>
  <c r="E266" i="1" l="1"/>
  <c r="G266" i="1" s="1"/>
  <c r="D267" i="1" s="1"/>
  <c r="C267" i="1" l="1"/>
  <c r="F267" i="1" s="1"/>
  <c r="E267" i="1" l="1"/>
  <c r="G267" i="1" s="1"/>
  <c r="D268" i="1" s="1"/>
  <c r="C268" i="1" l="1"/>
  <c r="F268" i="1" s="1"/>
  <c r="E268" i="1" l="1"/>
  <c r="G268" i="1" s="1"/>
  <c r="D269" i="1" s="1"/>
  <c r="C269" i="1" l="1"/>
  <c r="F269" i="1" s="1"/>
  <c r="E269" i="1" l="1"/>
  <c r="G269" i="1" s="1"/>
  <c r="D270" i="1" s="1"/>
  <c r="C270" i="1" l="1"/>
  <c r="F270" i="1" s="1"/>
  <c r="E270" i="1" l="1"/>
  <c r="G270" i="1" s="1"/>
  <c r="D271" i="1" s="1"/>
  <c r="C271" i="1" l="1"/>
  <c r="F271" i="1" s="1"/>
  <c r="E271" i="1" l="1"/>
  <c r="G271" i="1" s="1"/>
  <c r="D272" i="1" s="1"/>
  <c r="C272" i="1" l="1"/>
  <c r="F272" i="1" s="1"/>
  <c r="E272" i="1" l="1"/>
  <c r="G272" i="1" s="1"/>
  <c r="D273" i="1" s="1"/>
  <c r="C273" i="1" l="1"/>
  <c r="F273" i="1" s="1"/>
  <c r="E273" i="1" l="1"/>
  <c r="G273" i="1" s="1"/>
  <c r="D274" i="1" s="1"/>
  <c r="C274" i="1" l="1"/>
  <c r="F274" i="1" s="1"/>
  <c r="E274" i="1" l="1"/>
  <c r="G274" i="1" s="1"/>
  <c r="D275" i="1" s="1"/>
  <c r="C275" i="1" l="1"/>
  <c r="F275" i="1" s="1"/>
  <c r="E275" i="1" l="1"/>
  <c r="G275" i="1" s="1"/>
  <c r="D276" i="1" s="1"/>
  <c r="C276" i="1" l="1"/>
  <c r="F276" i="1" l="1"/>
  <c r="E276" i="1" s="1"/>
  <c r="G276" i="1" s="1"/>
  <c r="D277" i="1" s="1"/>
  <c r="C277" i="1" l="1"/>
  <c r="F277" i="1" s="1"/>
  <c r="E277" i="1" l="1"/>
  <c r="G277" i="1" s="1"/>
  <c r="D278" i="1" s="1"/>
  <c r="C278" i="1" l="1"/>
  <c r="F278" i="1" s="1"/>
  <c r="E278" i="1" l="1"/>
  <c r="G278" i="1" s="1"/>
  <c r="D279" i="1" s="1"/>
  <c r="C279" i="1" l="1"/>
  <c r="F279" i="1" s="1"/>
  <c r="E279" i="1" l="1"/>
  <c r="G279" i="1" s="1"/>
  <c r="D280" i="1" s="1"/>
  <c r="C280" i="1" l="1"/>
  <c r="F280" i="1" s="1"/>
  <c r="E280" i="1" l="1"/>
  <c r="G280" i="1" s="1"/>
  <c r="D281" i="1" s="1"/>
  <c r="C281" i="1" l="1"/>
  <c r="F281" i="1" s="1"/>
  <c r="E281" i="1" l="1"/>
  <c r="G281" i="1" s="1"/>
  <c r="D282" i="1" s="1"/>
  <c r="C282" i="1" l="1"/>
  <c r="F282" i="1" s="1"/>
  <c r="E282" i="1" l="1"/>
  <c r="G282" i="1" s="1"/>
  <c r="D283" i="1" s="1"/>
  <c r="C283" i="1" l="1"/>
  <c r="F283" i="1" l="1"/>
  <c r="E283" i="1" s="1"/>
  <c r="G283" i="1" s="1"/>
  <c r="D284" i="1" s="1"/>
  <c r="C284" i="1" l="1"/>
  <c r="F284" i="1" s="1"/>
  <c r="E284" i="1" l="1"/>
  <c r="G284" i="1" s="1"/>
  <c r="D285" i="1" s="1"/>
  <c r="C285" i="1" l="1"/>
  <c r="F285" i="1" s="1"/>
  <c r="E285" i="1" l="1"/>
  <c r="G285" i="1" s="1"/>
  <c r="D286" i="1" s="1"/>
  <c r="C286" i="1" l="1"/>
  <c r="F286" i="1" s="1"/>
  <c r="E286" i="1" l="1"/>
  <c r="G286" i="1" s="1"/>
  <c r="D287" i="1" s="1"/>
  <c r="C287" i="1" l="1"/>
  <c r="F287" i="1" s="1"/>
  <c r="E287" i="1" l="1"/>
  <c r="G287" i="1" s="1"/>
  <c r="D288" i="1" s="1"/>
  <c r="C288" i="1" l="1"/>
  <c r="F288" i="1" l="1"/>
  <c r="E288" i="1" s="1"/>
  <c r="G288" i="1" s="1"/>
  <c r="D289" i="1" s="1"/>
  <c r="C289" i="1" l="1"/>
  <c r="F289" i="1" s="1"/>
  <c r="E289" i="1" l="1"/>
  <c r="G289" i="1" s="1"/>
  <c r="D290" i="1" s="1"/>
  <c r="C290" i="1" l="1"/>
  <c r="F290" i="1" s="1"/>
  <c r="E290" i="1" l="1"/>
  <c r="G290" i="1" s="1"/>
  <c r="D291" i="1" s="1"/>
  <c r="C291" i="1" l="1"/>
  <c r="F291" i="1" l="1"/>
  <c r="E291" i="1" s="1"/>
  <c r="G291" i="1"/>
  <c r="D292" i="1" s="1"/>
  <c r="C292" i="1" l="1"/>
  <c r="F292" i="1" l="1"/>
  <c r="E292" i="1" s="1"/>
  <c r="G292" i="1" s="1"/>
  <c r="D293" i="1" s="1"/>
  <c r="C293" i="1" l="1"/>
  <c r="F293" i="1" s="1"/>
  <c r="E293" i="1" l="1"/>
  <c r="G293" i="1" s="1"/>
  <c r="D294" i="1" s="1"/>
  <c r="C294" i="1" l="1"/>
  <c r="F294" i="1" s="1"/>
  <c r="E294" i="1" l="1"/>
  <c r="G294" i="1" s="1"/>
  <c r="D295" i="1" s="1"/>
  <c r="C295" i="1" l="1"/>
  <c r="F295" i="1" s="1"/>
  <c r="E295" i="1" l="1"/>
  <c r="G295" i="1" s="1"/>
  <c r="D296" i="1" s="1"/>
  <c r="C296" i="1" l="1"/>
  <c r="F296" i="1" l="1"/>
  <c r="E296" i="1" s="1"/>
  <c r="G296" i="1" s="1"/>
  <c r="D297" i="1" s="1"/>
  <c r="C297" i="1" l="1"/>
  <c r="F297" i="1" s="1"/>
  <c r="E297" i="1" l="1"/>
  <c r="G297" i="1" s="1"/>
  <c r="D298" i="1" s="1"/>
  <c r="C298" i="1" l="1"/>
  <c r="F298" i="1" l="1"/>
  <c r="E298" i="1" s="1"/>
  <c r="G298" i="1" s="1"/>
  <c r="D299" i="1" s="1"/>
  <c r="C299" i="1" l="1"/>
  <c r="F299" i="1" s="1"/>
  <c r="E299" i="1" l="1"/>
  <c r="G299" i="1" s="1"/>
  <c r="D300" i="1" s="1"/>
  <c r="C300" i="1" l="1"/>
  <c r="F300" i="1" l="1"/>
  <c r="E300" i="1" s="1"/>
  <c r="G300" i="1" s="1"/>
  <c r="D301" i="1" s="1"/>
  <c r="C301" i="1" l="1"/>
  <c r="F301" i="1" s="1"/>
  <c r="E301" i="1" l="1"/>
  <c r="G301" i="1" s="1"/>
  <c r="D302" i="1" s="1"/>
  <c r="C302" i="1" l="1"/>
  <c r="F302" i="1" l="1"/>
  <c r="E302" i="1" s="1"/>
  <c r="G302" i="1" s="1"/>
  <c r="D303" i="1" s="1"/>
  <c r="C303" i="1" l="1"/>
  <c r="F303" i="1" s="1"/>
  <c r="E303" i="1" l="1"/>
  <c r="G303" i="1" s="1"/>
  <c r="D304" i="1" s="1"/>
  <c r="C304" i="1" l="1"/>
  <c r="F304" i="1" s="1"/>
  <c r="E304" i="1" l="1"/>
  <c r="G304" i="1" s="1"/>
  <c r="D305" i="1" s="1"/>
  <c r="C305" i="1" l="1"/>
  <c r="F305" i="1" s="1"/>
  <c r="E305" i="1" l="1"/>
  <c r="G305" i="1" s="1"/>
  <c r="D306" i="1" s="1"/>
  <c r="C306" i="1" l="1"/>
  <c r="F306" i="1" s="1"/>
  <c r="E306" i="1" l="1"/>
  <c r="G306" i="1" s="1"/>
  <c r="D307" i="1" s="1"/>
  <c r="C307" i="1" l="1"/>
  <c r="F307" i="1" s="1"/>
  <c r="E307" i="1" l="1"/>
  <c r="G307" i="1" s="1"/>
  <c r="D308" i="1" s="1"/>
  <c r="C308" i="1" l="1"/>
  <c r="F308" i="1" s="1"/>
  <c r="E308" i="1" l="1"/>
  <c r="G308" i="1" s="1"/>
  <c r="D309" i="1" s="1"/>
  <c r="C309" i="1" l="1"/>
  <c r="F309" i="1" s="1"/>
  <c r="E309" i="1" l="1"/>
  <c r="G309" i="1" s="1"/>
  <c r="D310" i="1" s="1"/>
  <c r="C310" i="1" l="1"/>
  <c r="F310" i="1" s="1"/>
  <c r="E310" i="1" l="1"/>
  <c r="G310" i="1" s="1"/>
  <c r="D311" i="1" s="1"/>
  <c r="C311" i="1" l="1"/>
  <c r="F311" i="1" s="1"/>
  <c r="E311" i="1" l="1"/>
  <c r="G311" i="1" s="1"/>
  <c r="D312" i="1" s="1"/>
  <c r="C312" i="1" l="1"/>
  <c r="F312" i="1" s="1"/>
  <c r="E312" i="1" l="1"/>
  <c r="G312" i="1" s="1"/>
  <c r="D313" i="1" s="1"/>
  <c r="C313" i="1" l="1"/>
  <c r="F313" i="1" s="1"/>
  <c r="E313" i="1" l="1"/>
  <c r="G313" i="1" s="1"/>
  <c r="D314" i="1" s="1"/>
  <c r="C314" i="1" l="1"/>
  <c r="F314" i="1" s="1"/>
  <c r="E314" i="1" l="1"/>
  <c r="G314" i="1" s="1"/>
  <c r="D315" i="1" s="1"/>
  <c r="C315" i="1" l="1"/>
  <c r="F315" i="1" s="1"/>
  <c r="E315" i="1" l="1"/>
  <c r="G315" i="1" s="1"/>
  <c r="D316" i="1" s="1"/>
  <c r="C316" i="1" l="1"/>
  <c r="F316" i="1" s="1"/>
  <c r="E316" i="1" l="1"/>
  <c r="G316" i="1" s="1"/>
  <c r="D317" i="1" s="1"/>
  <c r="C317" i="1" l="1"/>
  <c r="F317" i="1" s="1"/>
  <c r="E317" i="1" l="1"/>
  <c r="G317" i="1" s="1"/>
  <c r="D318" i="1" s="1"/>
  <c r="C318" i="1" l="1"/>
  <c r="F318" i="1" s="1"/>
  <c r="E318" i="1" l="1"/>
  <c r="G318" i="1" s="1"/>
  <c r="D319" i="1" s="1"/>
  <c r="C319" i="1" l="1"/>
  <c r="F319" i="1" l="1"/>
  <c r="E319" i="1" s="1"/>
  <c r="G319" i="1" s="1"/>
  <c r="D320" i="1" s="1"/>
  <c r="C320" i="1" l="1"/>
  <c r="F320" i="1" s="1"/>
  <c r="E320" i="1" l="1"/>
  <c r="G320" i="1" s="1"/>
  <c r="D321" i="1" s="1"/>
  <c r="C321" i="1" l="1"/>
  <c r="F321" i="1" s="1"/>
  <c r="E321" i="1" l="1"/>
  <c r="G321" i="1" s="1"/>
  <c r="D322" i="1" s="1"/>
  <c r="C322" i="1" l="1"/>
  <c r="F322" i="1" s="1"/>
  <c r="E322" i="1" l="1"/>
  <c r="G322" i="1" s="1"/>
  <c r="D323" i="1" s="1"/>
  <c r="C323" i="1" l="1"/>
  <c r="F323" i="1" l="1"/>
  <c r="E323" i="1" s="1"/>
  <c r="G323" i="1" s="1"/>
  <c r="D324" i="1" s="1"/>
  <c r="C324" i="1" l="1"/>
  <c r="F324" i="1" s="1"/>
  <c r="E324" i="1" l="1"/>
  <c r="G324" i="1" s="1"/>
  <c r="D325" i="1" s="1"/>
  <c r="C325" i="1" l="1"/>
  <c r="F325" i="1" s="1"/>
  <c r="E325" i="1" l="1"/>
  <c r="G325" i="1" s="1"/>
  <c r="D326" i="1" s="1"/>
  <c r="C326" i="1" l="1"/>
  <c r="F326" i="1" s="1"/>
  <c r="E326" i="1" l="1"/>
  <c r="G326" i="1" s="1"/>
  <c r="D327" i="1" s="1"/>
  <c r="C327" i="1" l="1"/>
  <c r="F327" i="1" s="1"/>
  <c r="E327" i="1" l="1"/>
  <c r="G327" i="1" s="1"/>
  <c r="D328" i="1" s="1"/>
  <c r="C328" i="1" l="1"/>
  <c r="F328" i="1" s="1"/>
  <c r="E328" i="1" l="1"/>
  <c r="G328" i="1" s="1"/>
  <c r="D329" i="1" s="1"/>
  <c r="C329" i="1" l="1"/>
  <c r="F329" i="1" s="1"/>
  <c r="E329" i="1" l="1"/>
  <c r="G329" i="1" s="1"/>
  <c r="D330" i="1" s="1"/>
  <c r="C330" i="1" l="1"/>
  <c r="F330" i="1" s="1"/>
  <c r="E330" i="1" l="1"/>
  <c r="G330" i="1" s="1"/>
  <c r="D331" i="1" s="1"/>
  <c r="C331" i="1" l="1"/>
  <c r="F331" i="1" s="1"/>
  <c r="E331" i="1" l="1"/>
  <c r="G331" i="1" s="1"/>
  <c r="D332" i="1" s="1"/>
  <c r="C332" i="1" l="1"/>
  <c r="F332" i="1" l="1"/>
  <c r="E332" i="1" s="1"/>
  <c r="G332" i="1" s="1"/>
  <c r="D333" i="1" s="1"/>
  <c r="C333" i="1" l="1"/>
  <c r="F333" i="1" s="1"/>
  <c r="E333" i="1" l="1"/>
  <c r="G333" i="1" s="1"/>
  <c r="D334" i="1" s="1"/>
  <c r="C334" i="1" l="1"/>
  <c r="F334" i="1" s="1"/>
  <c r="E334" i="1" l="1"/>
  <c r="G334" i="1" s="1"/>
  <c r="D335" i="1" s="1"/>
  <c r="C335" i="1" l="1"/>
  <c r="F335" i="1" s="1"/>
  <c r="E335" i="1" l="1"/>
  <c r="G335" i="1" s="1"/>
  <c r="D336" i="1" s="1"/>
  <c r="C336" i="1" l="1"/>
  <c r="F336" i="1" s="1"/>
  <c r="E336" i="1" l="1"/>
  <c r="G336" i="1" s="1"/>
  <c r="D337" i="1" s="1"/>
  <c r="C337" i="1" l="1"/>
  <c r="F337" i="1" s="1"/>
  <c r="E337" i="1" l="1"/>
  <c r="G337" i="1" s="1"/>
  <c r="D338" i="1" s="1"/>
  <c r="C338" i="1" l="1"/>
  <c r="F338" i="1" s="1"/>
  <c r="E338" i="1" l="1"/>
  <c r="G338" i="1" s="1"/>
  <c r="D339" i="1" s="1"/>
  <c r="C339" i="1" l="1"/>
  <c r="F339" i="1" s="1"/>
  <c r="E339" i="1" l="1"/>
  <c r="G339" i="1" s="1"/>
  <c r="D340" i="1" s="1"/>
  <c r="C340" i="1" l="1"/>
  <c r="F340" i="1" s="1"/>
  <c r="E340" i="1" l="1"/>
  <c r="G340" i="1" s="1"/>
  <c r="D341" i="1" s="1"/>
  <c r="C341" i="1" l="1"/>
  <c r="F341" i="1" l="1"/>
  <c r="E341" i="1" s="1"/>
  <c r="G341" i="1" s="1"/>
  <c r="D342" i="1" s="1"/>
  <c r="C342" i="1" l="1"/>
  <c r="F342" i="1" s="1"/>
  <c r="E342" i="1" l="1"/>
  <c r="G342" i="1" s="1"/>
  <c r="D343" i="1" s="1"/>
  <c r="C343" i="1" l="1"/>
  <c r="F343" i="1" s="1"/>
  <c r="E343" i="1" l="1"/>
  <c r="G343" i="1" s="1"/>
  <c r="D344" i="1" s="1"/>
  <c r="C344" i="1" l="1"/>
  <c r="F344" i="1" l="1"/>
  <c r="E344" i="1" s="1"/>
  <c r="G344" i="1" s="1"/>
  <c r="D345" i="1" s="1"/>
  <c r="C345" i="1" l="1"/>
  <c r="F345" i="1" s="1"/>
  <c r="E345" i="1" l="1"/>
  <c r="G345" i="1" s="1"/>
  <c r="D346" i="1" s="1"/>
  <c r="C346" i="1" l="1"/>
  <c r="F346" i="1" s="1"/>
  <c r="E346" i="1" l="1"/>
  <c r="G346" i="1" s="1"/>
  <c r="D347" i="1" s="1"/>
  <c r="C347" i="1" l="1"/>
  <c r="F347" i="1" s="1"/>
  <c r="E347" i="1" l="1"/>
  <c r="G347" i="1" s="1"/>
  <c r="D348" i="1" s="1"/>
  <c r="C348" i="1" l="1"/>
  <c r="F348" i="1" l="1"/>
  <c r="E348" i="1" s="1"/>
  <c r="G348" i="1" s="1"/>
  <c r="D349" i="1" s="1"/>
  <c r="C349" i="1" l="1"/>
  <c r="F349" i="1" l="1"/>
  <c r="E349" i="1" s="1"/>
  <c r="G349" i="1" s="1"/>
  <c r="D350" i="1" s="1"/>
  <c r="C350" i="1" l="1"/>
  <c r="F350" i="1" l="1"/>
  <c r="E350" i="1" s="1"/>
  <c r="G350" i="1" s="1"/>
  <c r="D351" i="1" s="1"/>
  <c r="C351" i="1" l="1"/>
  <c r="F351" i="1" s="1"/>
  <c r="E351" i="1" l="1"/>
  <c r="G351" i="1" s="1"/>
  <c r="D352" i="1" s="1"/>
  <c r="C352" i="1" l="1"/>
  <c r="F352" i="1" s="1"/>
  <c r="E352" i="1" l="1"/>
  <c r="G352" i="1" s="1"/>
  <c r="D353" i="1" s="1"/>
  <c r="C353" i="1" l="1"/>
  <c r="F353" i="1" s="1"/>
  <c r="E353" i="1" l="1"/>
  <c r="G353" i="1" s="1"/>
  <c r="D354" i="1" s="1"/>
  <c r="C354" i="1" l="1"/>
  <c r="F354" i="1" s="1"/>
  <c r="E354" i="1" l="1"/>
  <c r="G354" i="1" s="1"/>
  <c r="D355" i="1" s="1"/>
  <c r="C355" i="1" l="1"/>
  <c r="F355" i="1" s="1"/>
  <c r="E355" i="1" l="1"/>
  <c r="G355" i="1" s="1"/>
  <c r="D356" i="1" s="1"/>
  <c r="C356" i="1" l="1"/>
  <c r="F356" i="1" s="1"/>
  <c r="E356" i="1" l="1"/>
  <c r="G356" i="1" s="1"/>
  <c r="D357" i="1" s="1"/>
  <c r="C357" i="1" l="1"/>
  <c r="F357" i="1" s="1"/>
  <c r="E357" i="1" l="1"/>
  <c r="G357" i="1" s="1"/>
  <c r="D358" i="1" s="1"/>
  <c r="C358" i="1" l="1"/>
  <c r="F358" i="1" s="1"/>
  <c r="E358" i="1" l="1"/>
  <c r="G358" i="1" s="1"/>
  <c r="D359" i="1" s="1"/>
  <c r="C359" i="1" l="1"/>
  <c r="F359" i="1" s="1"/>
  <c r="E359" i="1" l="1"/>
  <c r="G359" i="1" s="1"/>
  <c r="D360" i="1" s="1"/>
  <c r="C360" i="1" l="1"/>
  <c r="F360" i="1" s="1"/>
  <c r="E360" i="1" l="1"/>
  <c r="G360" i="1" s="1"/>
  <c r="D361" i="1" s="1"/>
  <c r="C361" i="1" l="1"/>
  <c r="F361" i="1" l="1"/>
  <c r="E361" i="1" s="1"/>
  <c r="G361" i="1" s="1"/>
  <c r="D362" i="1" s="1"/>
  <c r="C362" i="1" l="1"/>
  <c r="F362" i="1" s="1"/>
  <c r="E362" i="1" l="1"/>
  <c r="G362" i="1" s="1"/>
  <c r="D363" i="1" s="1"/>
  <c r="C363" i="1" l="1"/>
  <c r="F363" i="1" l="1"/>
  <c r="E363" i="1" s="1"/>
  <c r="G363" i="1" s="1"/>
  <c r="D364" i="1" s="1"/>
  <c r="C364" i="1" l="1"/>
  <c r="F364" i="1" s="1"/>
  <c r="E364" i="1" l="1"/>
  <c r="G364" i="1" s="1"/>
  <c r="D365" i="1" s="1"/>
  <c r="C365" i="1" l="1"/>
  <c r="F365" i="1" s="1"/>
  <c r="E365" i="1" l="1"/>
  <c r="G365" i="1" s="1"/>
  <c r="D366" i="1" s="1"/>
  <c r="C366" i="1" l="1"/>
  <c r="F366" i="1" s="1"/>
  <c r="E366" i="1" l="1"/>
  <c r="G366" i="1" s="1"/>
  <c r="D367" i="1" s="1"/>
  <c r="C367" i="1" l="1"/>
  <c r="F367" i="1" s="1"/>
  <c r="E367" i="1" l="1"/>
  <c r="G367" i="1" s="1"/>
  <c r="D368" i="1" s="1"/>
  <c r="C368" i="1" l="1"/>
  <c r="F368" i="1" s="1"/>
  <c r="E368" i="1" l="1"/>
  <c r="G368" i="1" s="1"/>
  <c r="D369" i="1" s="1"/>
  <c r="C369" i="1" l="1"/>
  <c r="F369" i="1" s="1"/>
  <c r="E369" i="1" l="1"/>
  <c r="G369" i="1" s="1"/>
  <c r="D370" i="1" s="1"/>
  <c r="C370" i="1" l="1"/>
  <c r="F370" i="1" s="1"/>
  <c r="E370" i="1" l="1"/>
  <c r="G370" i="1" s="1"/>
  <c r="D371" i="1" s="1"/>
  <c r="C371" i="1" l="1"/>
  <c r="F371" i="1" s="1"/>
  <c r="E371" i="1" l="1"/>
  <c r="G371" i="1" s="1"/>
  <c r="D372" i="1" s="1"/>
  <c r="C372" i="1" l="1"/>
  <c r="F372" i="1" s="1"/>
  <c r="E372" i="1" l="1"/>
  <c r="G372" i="1" s="1"/>
  <c r="D373" i="1" s="1"/>
  <c r="C373" i="1" l="1"/>
  <c r="F373" i="1" s="1"/>
  <c r="E373" i="1" l="1"/>
  <c r="G373" i="1" s="1"/>
  <c r="D374" i="1" s="1"/>
  <c r="C374" i="1" l="1"/>
  <c r="F374" i="1" s="1"/>
  <c r="E374" i="1" l="1"/>
  <c r="G374" i="1" s="1"/>
  <c r="D375" i="1" s="1"/>
  <c r="C375" i="1" l="1"/>
  <c r="F375" i="1" s="1"/>
  <c r="E375" i="1" l="1"/>
  <c r="G375" i="1" s="1"/>
  <c r="D376" i="1" s="1"/>
  <c r="C376" i="1" l="1"/>
  <c r="F376" i="1" s="1"/>
  <c r="E376" i="1" l="1"/>
  <c r="G376" i="1" s="1"/>
  <c r="D377" i="1" s="1"/>
  <c r="C377" i="1" l="1"/>
  <c r="F377" i="1" s="1"/>
  <c r="E377" i="1" l="1"/>
  <c r="G377" i="1" s="1"/>
  <c r="D378" i="1" s="1"/>
  <c r="C378" i="1" l="1"/>
  <c r="F378" i="1" l="1"/>
  <c r="E378" i="1" s="1"/>
  <c r="G378" i="1" s="1"/>
  <c r="D379" i="1" s="1"/>
  <c r="C379" i="1" l="1"/>
  <c r="F379" i="1" s="1"/>
  <c r="E379" i="1" l="1"/>
  <c r="G379" i="1" s="1"/>
  <c r="D380" i="1" s="1"/>
  <c r="C380" i="1" l="1"/>
  <c r="F380" i="1" l="1"/>
  <c r="E380" i="1" s="1"/>
  <c r="G380" i="1" s="1"/>
  <c r="D381" i="1" s="1"/>
  <c r="C381" i="1" l="1"/>
  <c r="F381" i="1" l="1"/>
  <c r="E381" i="1" s="1"/>
  <c r="G381" i="1" s="1"/>
  <c r="D382" i="1" s="1"/>
  <c r="C382" i="1" l="1"/>
  <c r="F382" i="1" s="1"/>
  <c r="E382" i="1" l="1"/>
  <c r="G382" i="1" s="1"/>
  <c r="D383" i="1" s="1"/>
  <c r="C383" i="1" l="1"/>
  <c r="F383" i="1" s="1"/>
  <c r="E383" i="1" l="1"/>
  <c r="G383" i="1" s="1"/>
  <c r="D384" i="1" s="1"/>
  <c r="C384" i="1" l="1"/>
  <c r="F384" i="1" s="1"/>
  <c r="E384" i="1" l="1"/>
  <c r="G384" i="1" s="1"/>
  <c r="D385" i="1" s="1"/>
  <c r="C385" i="1" l="1"/>
  <c r="F385" i="1" s="1"/>
  <c r="E385" i="1" l="1"/>
  <c r="G385" i="1" s="1"/>
  <c r="D386" i="1" s="1"/>
  <c r="C386" i="1" l="1"/>
  <c r="F386" i="1" s="1"/>
  <c r="E386" i="1" l="1"/>
  <c r="G386" i="1" s="1"/>
  <c r="D387" i="1" s="1"/>
  <c r="C387" i="1" l="1"/>
  <c r="F387" i="1" s="1"/>
  <c r="E387" i="1" l="1"/>
  <c r="G387" i="1" s="1"/>
  <c r="D388" i="1" s="1"/>
  <c r="C388" i="1" l="1"/>
  <c r="F388" i="1" s="1"/>
  <c r="E388" i="1" l="1"/>
  <c r="G388" i="1" s="1"/>
  <c r="D389" i="1" s="1"/>
  <c r="C389" i="1" l="1"/>
  <c r="F389" i="1" s="1"/>
  <c r="E389" i="1" l="1"/>
  <c r="G389" i="1" s="1"/>
  <c r="D390" i="1" s="1"/>
  <c r="C390" i="1" l="1"/>
  <c r="F390" i="1" s="1"/>
  <c r="E390" i="1" l="1"/>
  <c r="G390" i="1" s="1"/>
  <c r="D391" i="1" s="1"/>
  <c r="C391" i="1" l="1"/>
  <c r="F391" i="1" s="1"/>
  <c r="E391" i="1" l="1"/>
  <c r="G391" i="1" s="1"/>
  <c r="D392" i="1" s="1"/>
  <c r="C392" i="1" l="1"/>
  <c r="F392" i="1" l="1"/>
  <c r="E392" i="1" s="1"/>
  <c r="G392" i="1" s="1"/>
  <c r="D393" i="1" s="1"/>
  <c r="C393" i="1" l="1"/>
  <c r="F393" i="1" s="1"/>
  <c r="E393" i="1" l="1"/>
  <c r="G393" i="1" s="1"/>
  <c r="D394" i="1" s="1"/>
  <c r="C394" i="1" l="1"/>
  <c r="F394" i="1" l="1"/>
  <c r="E394" i="1" s="1"/>
  <c r="G394" i="1" s="1"/>
  <c r="D395" i="1" s="1"/>
  <c r="C395" i="1" l="1"/>
  <c r="F395" i="1" l="1"/>
  <c r="E395" i="1" s="1"/>
  <c r="G395" i="1" s="1"/>
  <c r="D396" i="1" s="1"/>
  <c r="C396" i="1" l="1"/>
  <c r="F396" i="1" l="1"/>
  <c r="E396" i="1" s="1"/>
  <c r="G396" i="1"/>
  <c r="D397" i="1" s="1"/>
  <c r="C397" i="1" l="1"/>
  <c r="F397" i="1" s="1"/>
  <c r="E397" i="1" l="1"/>
  <c r="G397" i="1" s="1"/>
  <c r="D398" i="1" s="1"/>
  <c r="C398" i="1" l="1"/>
  <c r="F398" i="1" s="1"/>
  <c r="E398" i="1" l="1"/>
  <c r="G398" i="1" s="1"/>
  <c r="D399" i="1" s="1"/>
  <c r="C399" i="1" l="1"/>
  <c r="F399" i="1" s="1"/>
  <c r="E399" i="1" l="1"/>
  <c r="G399" i="1" s="1"/>
  <c r="D400" i="1" s="1"/>
  <c r="C400" i="1" l="1"/>
  <c r="F400" i="1" s="1"/>
  <c r="E400" i="1" l="1"/>
  <c r="G400" i="1" s="1"/>
  <c r="D401" i="1" s="1"/>
  <c r="C401" i="1" l="1"/>
  <c r="F401" i="1" l="1"/>
  <c r="E401" i="1" s="1"/>
  <c r="G401" i="1" s="1"/>
  <c r="D402" i="1" s="1"/>
  <c r="C402" i="1" l="1"/>
  <c r="F402" i="1" s="1"/>
  <c r="E402" i="1" l="1"/>
  <c r="G402" i="1" s="1"/>
  <c r="D403" i="1" s="1"/>
  <c r="C403" i="1" l="1"/>
  <c r="F403" i="1" l="1"/>
  <c r="E403" i="1" s="1"/>
  <c r="G403" i="1" s="1"/>
  <c r="D404" i="1" s="1"/>
  <c r="C404" i="1" l="1"/>
  <c r="F404" i="1" s="1"/>
  <c r="E404" i="1" l="1"/>
  <c r="G404" i="1" s="1"/>
  <c r="D405" i="1" s="1"/>
  <c r="C405" i="1" l="1"/>
  <c r="F405" i="1" s="1"/>
  <c r="E405" i="1" l="1"/>
  <c r="G405" i="1" s="1"/>
  <c r="D406" i="1" s="1"/>
  <c r="C406" i="1" l="1"/>
  <c r="F406" i="1" s="1"/>
  <c r="E406" i="1" l="1"/>
  <c r="G406" i="1" s="1"/>
  <c r="D407" i="1" s="1"/>
  <c r="C407" i="1" l="1"/>
  <c r="F407" i="1" l="1"/>
  <c r="E407" i="1" s="1"/>
  <c r="G407" i="1"/>
  <c r="D408" i="1" s="1"/>
  <c r="C408" i="1" l="1"/>
  <c r="F408" i="1" s="1"/>
  <c r="E408" i="1" l="1"/>
  <c r="G408" i="1" s="1"/>
  <c r="D409" i="1" s="1"/>
  <c r="C409" i="1" l="1"/>
  <c r="F409" i="1" s="1"/>
  <c r="E409" i="1" l="1"/>
  <c r="G409" i="1" s="1"/>
  <c r="D410" i="1" s="1"/>
  <c r="C410" i="1" l="1"/>
  <c r="F410" i="1" s="1"/>
  <c r="E410" i="1" l="1"/>
  <c r="G410" i="1" s="1"/>
  <c r="D411" i="1" s="1"/>
  <c r="C411" i="1" l="1"/>
  <c r="F411" i="1" s="1"/>
  <c r="E411" i="1" l="1"/>
  <c r="G411" i="1" s="1"/>
  <c r="D412" i="1" s="1"/>
  <c r="C412" i="1" l="1"/>
  <c r="F412" i="1" s="1"/>
  <c r="E412" i="1" l="1"/>
  <c r="G412" i="1" s="1"/>
  <c r="D413" i="1" s="1"/>
  <c r="C413" i="1" l="1"/>
  <c r="F413" i="1" s="1"/>
  <c r="E413" i="1" l="1"/>
  <c r="G413" i="1" s="1"/>
  <c r="D414" i="1" s="1"/>
  <c r="C414" i="1" l="1"/>
  <c r="F414" i="1" s="1"/>
  <c r="E414" i="1" l="1"/>
  <c r="G414" i="1" s="1"/>
  <c r="D415" i="1" s="1"/>
  <c r="C415" i="1" l="1"/>
  <c r="F415" i="1" s="1"/>
  <c r="E415" i="1" l="1"/>
  <c r="G415" i="1" s="1"/>
  <c r="D416" i="1" s="1"/>
  <c r="C416" i="1" l="1"/>
  <c r="F416" i="1" s="1"/>
  <c r="E416" i="1" l="1"/>
  <c r="G416" i="1" s="1"/>
  <c r="D417" i="1" s="1"/>
  <c r="C417" i="1" l="1"/>
  <c r="F417" i="1" l="1"/>
  <c r="E417" i="1" s="1"/>
  <c r="G417" i="1" s="1"/>
  <c r="D418" i="1" s="1"/>
  <c r="C418" i="1" l="1"/>
  <c r="F418" i="1" l="1"/>
  <c r="E418" i="1" s="1"/>
  <c r="G418" i="1" s="1"/>
  <c r="D419" i="1" s="1"/>
  <c r="C419" i="1" l="1"/>
  <c r="F419" i="1" l="1"/>
  <c r="E419" i="1" s="1"/>
  <c r="G419" i="1" s="1"/>
  <c r="D420" i="1" s="1"/>
  <c r="C420" i="1" l="1"/>
  <c r="F420" i="1" s="1"/>
  <c r="E420" i="1" l="1"/>
  <c r="G420" i="1" s="1"/>
  <c r="D421" i="1" s="1"/>
  <c r="C421" i="1" l="1"/>
  <c r="F421" i="1" l="1"/>
  <c r="E421" i="1" s="1"/>
  <c r="G421" i="1" s="1"/>
  <c r="D422" i="1" s="1"/>
  <c r="C422" i="1" l="1"/>
  <c r="F422" i="1" l="1"/>
  <c r="E422" i="1" s="1"/>
  <c r="G422" i="1" s="1"/>
  <c r="D423" i="1" s="1"/>
  <c r="C423" i="1" l="1"/>
  <c r="F423" i="1" s="1"/>
  <c r="E423" i="1" l="1"/>
  <c r="G423" i="1" s="1"/>
  <c r="D424" i="1" s="1"/>
  <c r="C424" i="1" l="1"/>
  <c r="F424" i="1" s="1"/>
  <c r="E424" i="1" l="1"/>
  <c r="G424" i="1" s="1"/>
  <c r="D425" i="1" s="1"/>
  <c r="C425" i="1" l="1"/>
  <c r="F425" i="1" l="1"/>
  <c r="E425" i="1" s="1"/>
  <c r="G425" i="1" s="1"/>
  <c r="D426" i="1" s="1"/>
  <c r="C426" i="1" l="1"/>
  <c r="F426" i="1" s="1"/>
  <c r="E426" i="1" l="1"/>
  <c r="G426" i="1" s="1"/>
  <c r="D427" i="1" s="1"/>
  <c r="C427" i="1" l="1"/>
  <c r="F427" i="1" s="1"/>
  <c r="E427" i="1" l="1"/>
  <c r="G427" i="1" s="1"/>
  <c r="D428" i="1" s="1"/>
  <c r="C428" i="1" l="1"/>
  <c r="F428" i="1" s="1"/>
  <c r="E428" i="1" l="1"/>
  <c r="G428" i="1" s="1"/>
  <c r="D429" i="1" s="1"/>
  <c r="C429" i="1" l="1"/>
  <c r="F429" i="1" l="1"/>
  <c r="E429" i="1" s="1"/>
  <c r="G429" i="1" s="1"/>
  <c r="D430" i="1" s="1"/>
  <c r="C430" i="1" l="1"/>
  <c r="F430" i="1" l="1"/>
  <c r="F3" i="1" s="1"/>
  <c r="E430" i="1" l="1"/>
  <c r="F4" i="1" l="1"/>
  <c r="F5" i="1" s="1"/>
  <c r="G430" i="1"/>
</calcChain>
</file>

<file path=xl/sharedStrings.xml><?xml version="1.0" encoding="utf-8"?>
<sst xmlns="http://schemas.openxmlformats.org/spreadsheetml/2006/main" count="16" uniqueCount="16">
  <si>
    <t>Importo da finanziare</t>
  </si>
  <si>
    <t>tasso mensile</t>
  </si>
  <si>
    <t>Durata finanziamento(year)</t>
  </si>
  <si>
    <t>Tasso interesse(year)</t>
  </si>
  <si>
    <t>durata finanziamento(month)</t>
  </si>
  <si>
    <t>Payment Date</t>
  </si>
  <si>
    <t>Importo di apertura</t>
  </si>
  <si>
    <t>Rata</t>
  </si>
  <si>
    <t>Debito</t>
  </si>
  <si>
    <t>Interessi</t>
  </si>
  <si>
    <t>Saldo finale</t>
  </si>
  <si>
    <t>Totale interessi</t>
  </si>
  <si>
    <t>Totale Finanziato</t>
  </si>
  <si>
    <t>% Interessi</t>
  </si>
  <si>
    <t>Valori</t>
  </si>
  <si>
    <t>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</si>
</sst>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4" xfId="1" applyFont="1" applyBorder="1"/>
    <xf numFmtId="10" fontId="0" fillId="0" borderId="5" xfId="2" applyNumberFormat="1" applyFont="1" applyBorder="1"/>
    <xf numFmtId="0" fontId="0" fillId="0" borderId="6" xfId="0" applyBorder="1"/>
    <xf numFmtId="10" fontId="0" fillId="0" borderId="6" xfId="2" applyNumberFormat="1" applyFont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3" xfId="0" applyFont="1" applyFill="1" applyBorder="1"/>
    <xf numFmtId="0" fontId="2" fillId="2" borderId="9" xfId="0" applyFont="1" applyFill="1" applyBorder="1"/>
    <xf numFmtId="14" fontId="0" fillId="0" borderId="1" xfId="0" applyNumberFormat="1" applyBorder="1"/>
    <xf numFmtId="44" fontId="0" fillId="0" borderId="1" xfId="0" applyNumberFormat="1" applyBorder="1"/>
    <xf numFmtId="8" fontId="0" fillId="0" borderId="1" xfId="0" applyNumberFormat="1" applyBorder="1"/>
    <xf numFmtId="14" fontId="0" fillId="0" borderId="2" xfId="0" applyNumberFormat="1" applyBorder="1"/>
    <xf numFmtId="44" fontId="0" fillId="0" borderId="2" xfId="0" applyNumberFormat="1" applyBorder="1"/>
    <xf numFmtId="8" fontId="0" fillId="0" borderId="2" xfId="0" applyNumberFormat="1" applyBorder="1"/>
    <xf numFmtId="8" fontId="0" fillId="0" borderId="4" xfId="0" applyNumberFormat="1" applyBorder="1"/>
    <xf numFmtId="8" fontId="0" fillId="0" borderId="6" xfId="0" applyNumberFormat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14" fontId="0" fillId="0" borderId="13" xfId="0" applyNumberFormat="1" applyBorder="1"/>
    <xf numFmtId="44" fontId="0" fillId="0" borderId="13" xfId="0" applyNumberFormat="1" applyBorder="1"/>
    <xf numFmtId="8" fontId="0" fillId="0" borderId="13" xfId="0" applyNumberFormat="1" applyBorder="1"/>
    <xf numFmtId="0" fontId="0" fillId="0" borderId="14" xfId="0" applyBorder="1"/>
    <xf numFmtId="10" fontId="0" fillId="0" borderId="14" xfId="2" applyNumberFormat="1" applyFont="1" applyBorder="1"/>
  </cellXfs>
  <cellStyles count="3">
    <cellStyle name="Normale" xfId="0" builtinId="0"/>
    <cellStyle name="Percentuale" xfId="2" builtinId="5"/>
    <cellStyle name="Valuta" xfId="1" builtinId="4"/>
  </cellStyles>
  <dxfs count="11">
    <dxf>
      <border outline="0"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34" formatCode="_-* #,##0.00\ &quot;€&quot;_-;\-* #,##0.00\ &quot;€&quot;_-;_-* &quot;-&quot;??\ &quot;€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* #,##0.00\ &quot;€&quot;_-;\-* #,##0.00\ &quot;€&quot;_-;_-* &quot;-&quot;??\ &quot;€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E2320-5020-4ED8-AE68-28324AD882BF}" name="Tabella1" displayName="Tabella1" ref="B10:G430" totalsRowShown="0" headerRowDxfId="10" headerRowBorderDxfId="9" tableBorderDxfId="8">
  <autoFilter ref="B10:G430" xr:uid="{A88E2320-5020-4ED8-AE68-28324AD882BF}"/>
  <tableColumns count="6">
    <tableColumn id="1" xr3:uid="{E249C96D-14A5-4C0A-A839-9244C4475C00}" name="Payment Date" dataDxfId="7">
      <calculatedColumnFormula>EDATE(B10,1)</calculatedColumnFormula>
    </tableColumn>
    <tableColumn id="2" xr3:uid="{6B6215A9-C485-49CC-8206-46619EFD44E2}" name="Importo di apertura" dataDxfId="6">
      <calculatedColumnFormula>G10</calculatedColumnFormula>
    </tableColumn>
    <tableColumn id="3" xr3:uid="{8D6754BD-0148-4C1B-A6BD-1CF5E2F44FF6}" name="Rata" dataDxfId="5">
      <calculatedColumnFormula>IF(G10&lt;=0.1,0,-PMT($C$6,$C$7,$C$3))</calculatedColumnFormula>
    </tableColumn>
    <tableColumn id="4" xr3:uid="{FF378D06-01C2-4955-8474-FE9D433FA724}" name="Debito" dataDxfId="4">
      <calculatedColumnFormula>D11-F11</calculatedColumnFormula>
    </tableColumn>
    <tableColumn id="5" xr3:uid="{98280F8E-2FA8-4537-B5B8-394EB9EB881A}" name="Interessi" dataDxfId="3">
      <calculatedColumnFormula>C11*$C$6</calculatedColumnFormula>
    </tableColumn>
    <tableColumn id="6" xr3:uid="{AF49259A-85D8-40A3-908C-B26F68069382}" name="Saldo finale" dataDxfId="2">
      <calculatedColumnFormula>C11-E11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D9B72-7959-44E1-AE9B-0322EE051608}" name="Tabella2" displayName="Tabella2" ref="C2:C7" totalsRowShown="0" tableBorderDxfId="1">
  <autoFilter ref="C2:C7" xr:uid="{4A4D9B72-7959-44E1-AE9B-0322EE051608}"/>
  <tableColumns count="1">
    <tableColumn id="1" xr3:uid="{7170F663-1551-4423-8BBA-ABDE59CE627F}" name="Valor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A48FB4-DEA2-4F19-9B78-0FE50E9CB97D}" name="Tabella3" displayName="Tabella3" ref="F2:F5" totalsRowShown="0" tableBorderDxfId="0">
  <autoFilter ref="F2:F5" xr:uid="{9FA48FB4-DEA2-4F19-9B78-0FE50E9CB97D}"/>
  <tableColumns count="1">
    <tableColumn id="1" xr3:uid="{F2882971-8D93-4F47-843B-E3AD870FD4EC}" name="Tota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3287-CA81-4F43-AB59-A25765561C63}">
  <dimension ref="B2:G430"/>
  <sheetViews>
    <sheetView showGridLines="0" tabSelected="1" zoomScaleNormal="100" workbookViewId="0">
      <selection activeCell="C5" sqref="C5"/>
    </sheetView>
  </sheetViews>
  <sheetFormatPr defaultRowHeight="14.4" x14ac:dyDescent="0.3"/>
  <cols>
    <col min="2" max="2" width="26.109375" customWidth="1"/>
    <col min="3" max="3" width="19" customWidth="1"/>
    <col min="4" max="4" width="12.109375" customWidth="1"/>
    <col min="5" max="5" width="15.33203125" customWidth="1"/>
    <col min="6" max="6" width="15.88671875" customWidth="1"/>
    <col min="7" max="7" width="15.6640625" customWidth="1"/>
  </cols>
  <sheetData>
    <row r="2" spans="2:7" ht="15" thickBot="1" x14ac:dyDescent="0.35">
      <c r="C2" t="s">
        <v>14</v>
      </c>
      <c r="F2" t="s">
        <v>15</v>
      </c>
    </row>
    <row r="3" spans="2:7" x14ac:dyDescent="0.3">
      <c r="B3" s="5" t="s">
        <v>0</v>
      </c>
      <c r="C3" s="1">
        <v>300000</v>
      </c>
      <c r="E3" s="5" t="s">
        <v>11</v>
      </c>
      <c r="F3" s="15">
        <f>SUM(F11:F430)</f>
        <v>257896.17370197675</v>
      </c>
    </row>
    <row r="4" spans="2:7" x14ac:dyDescent="0.3">
      <c r="B4" s="6" t="s">
        <v>3</v>
      </c>
      <c r="C4" s="2">
        <v>0.04</v>
      </c>
      <c r="E4" s="7" t="s">
        <v>12</v>
      </c>
      <c r="F4" s="16">
        <f>SUM(E11:E430)</f>
        <v>300000.00000000023</v>
      </c>
    </row>
    <row r="5" spans="2:7" ht="15" thickBot="1" x14ac:dyDescent="0.35">
      <c r="B5" s="7" t="s">
        <v>2</v>
      </c>
      <c r="C5" s="3">
        <v>35</v>
      </c>
      <c r="E5" s="8" t="s">
        <v>13</v>
      </c>
      <c r="F5" s="24">
        <f>F3/SUM(F4,F3)</f>
        <v>0.46226553588041364</v>
      </c>
    </row>
    <row r="6" spans="2:7" x14ac:dyDescent="0.3">
      <c r="B6" s="7" t="s">
        <v>1</v>
      </c>
      <c r="C6" s="4">
        <f>C4/12</f>
        <v>3.3333333333333335E-3</v>
      </c>
    </row>
    <row r="7" spans="2:7" ht="15" thickBot="1" x14ac:dyDescent="0.35">
      <c r="B7" s="8" t="s">
        <v>4</v>
      </c>
      <c r="C7" s="23">
        <f>C5*12</f>
        <v>420</v>
      </c>
    </row>
    <row r="9" spans="2:7" ht="15.6" customHeight="1" x14ac:dyDescent="0.3"/>
    <row r="10" spans="2:7" ht="30" customHeight="1" thickBot="1" x14ac:dyDescent="0.35">
      <c r="B10" s="17" t="s">
        <v>5</v>
      </c>
      <c r="C10" s="18" t="s">
        <v>6</v>
      </c>
      <c r="D10" s="18" t="s">
        <v>7</v>
      </c>
      <c r="E10" s="18" t="s">
        <v>8</v>
      </c>
      <c r="F10" s="18" t="s">
        <v>9</v>
      </c>
      <c r="G10" s="19" t="s">
        <v>10</v>
      </c>
    </row>
    <row r="11" spans="2:7" x14ac:dyDescent="0.3">
      <c r="B11" s="12">
        <v>46023</v>
      </c>
      <c r="C11" s="13">
        <f>$C$3</f>
        <v>300000</v>
      </c>
      <c r="D11" s="14">
        <f>-PMT($C$6,$C$7,$C$3)</f>
        <v>1328.3242230999456</v>
      </c>
      <c r="E11" s="14">
        <f>D11-F11</f>
        <v>328.32422309994547</v>
      </c>
      <c r="F11" s="14">
        <f>C11*$C$6</f>
        <v>1000.0000000000001</v>
      </c>
      <c r="G11" s="13">
        <f>C11-E11</f>
        <v>299671.67577690008</v>
      </c>
    </row>
    <row r="12" spans="2:7" x14ac:dyDescent="0.3">
      <c r="B12" s="9">
        <f>EDATE(B11,1)</f>
        <v>46054</v>
      </c>
      <c r="C12" s="10">
        <f>G11</f>
        <v>299671.67577690008</v>
      </c>
      <c r="D12" s="11">
        <f>IF(G11&lt;=0.1,0,-PMT($C$6,$C$7,$C$3))</f>
        <v>1328.3242230999456</v>
      </c>
      <c r="E12" s="11">
        <f>D12-F12</f>
        <v>329.41863717694525</v>
      </c>
      <c r="F12" s="11">
        <f>C12*$C$6</f>
        <v>998.90558592300033</v>
      </c>
      <c r="G12" s="10">
        <f>C12-E12</f>
        <v>299342.25713972317</v>
      </c>
    </row>
    <row r="13" spans="2:7" x14ac:dyDescent="0.3">
      <c r="B13" s="9">
        <f t="shared" ref="B13:B76" si="0">EDATE(B12,1)</f>
        <v>46082</v>
      </c>
      <c r="C13" s="10">
        <f t="shared" ref="C13:C76" si="1">G12</f>
        <v>299342.25713972317</v>
      </c>
      <c r="D13" s="11">
        <f t="shared" ref="D13:D76" si="2">IF(G12&lt;=0.1,0,-PMT($C$6,$C$7,$C$3))</f>
        <v>1328.3242230999456</v>
      </c>
      <c r="E13" s="11">
        <f t="shared" ref="E13:E76" si="3">D13-F13</f>
        <v>330.51669930086825</v>
      </c>
      <c r="F13" s="11">
        <f t="shared" ref="F13:F76" si="4">C13*$C$6</f>
        <v>997.80752379907733</v>
      </c>
      <c r="G13" s="10">
        <f t="shared" ref="G13:G76" si="5">C13-E13</f>
        <v>299011.74044042232</v>
      </c>
    </row>
    <row r="14" spans="2:7" x14ac:dyDescent="0.3">
      <c r="B14" s="9">
        <f t="shared" si="0"/>
        <v>46113</v>
      </c>
      <c r="C14" s="10">
        <f t="shared" si="1"/>
        <v>299011.74044042232</v>
      </c>
      <c r="D14" s="11">
        <f t="shared" si="2"/>
        <v>1328.3242230999456</v>
      </c>
      <c r="E14" s="11">
        <f t="shared" si="3"/>
        <v>331.61842163187112</v>
      </c>
      <c r="F14" s="11">
        <f t="shared" si="4"/>
        <v>996.70580146807447</v>
      </c>
      <c r="G14" s="10">
        <f t="shared" si="5"/>
        <v>298680.12201879045</v>
      </c>
    </row>
    <row r="15" spans="2:7" x14ac:dyDescent="0.3">
      <c r="B15" s="9">
        <f t="shared" si="0"/>
        <v>46143</v>
      </c>
      <c r="C15" s="10">
        <f t="shared" si="1"/>
        <v>298680.12201879045</v>
      </c>
      <c r="D15" s="11">
        <f t="shared" si="2"/>
        <v>1328.3242230999456</v>
      </c>
      <c r="E15" s="11">
        <f t="shared" si="3"/>
        <v>332.72381637064404</v>
      </c>
      <c r="F15" s="11">
        <f t="shared" si="4"/>
        <v>995.60040672930154</v>
      </c>
      <c r="G15" s="10">
        <f t="shared" si="5"/>
        <v>298347.3982024198</v>
      </c>
    </row>
    <row r="16" spans="2:7" x14ac:dyDescent="0.3">
      <c r="B16" s="9">
        <f t="shared" si="0"/>
        <v>46174</v>
      </c>
      <c r="C16" s="10">
        <f t="shared" si="1"/>
        <v>298347.3982024198</v>
      </c>
      <c r="D16" s="11">
        <f t="shared" si="2"/>
        <v>1328.3242230999456</v>
      </c>
      <c r="E16" s="11">
        <f t="shared" si="3"/>
        <v>333.83289575854621</v>
      </c>
      <c r="F16" s="11">
        <f t="shared" si="4"/>
        <v>994.49132734139937</v>
      </c>
      <c r="G16" s="10">
        <f t="shared" si="5"/>
        <v>298013.56530666124</v>
      </c>
    </row>
    <row r="17" spans="2:7" x14ac:dyDescent="0.3">
      <c r="B17" s="9">
        <f t="shared" si="0"/>
        <v>46204</v>
      </c>
      <c r="C17" s="10">
        <f t="shared" si="1"/>
        <v>298013.56530666124</v>
      </c>
      <c r="D17" s="11">
        <f t="shared" si="2"/>
        <v>1328.3242230999456</v>
      </c>
      <c r="E17" s="11">
        <f t="shared" si="3"/>
        <v>334.94567207774139</v>
      </c>
      <c r="F17" s="11">
        <f t="shared" si="4"/>
        <v>993.37855102220419</v>
      </c>
      <c r="G17" s="10">
        <f t="shared" si="5"/>
        <v>297678.61963458348</v>
      </c>
    </row>
    <row r="18" spans="2:7" x14ac:dyDescent="0.3">
      <c r="B18" s="9">
        <f t="shared" si="0"/>
        <v>46235</v>
      </c>
      <c r="C18" s="10">
        <f t="shared" si="1"/>
        <v>297678.61963458348</v>
      </c>
      <c r="D18" s="11">
        <f t="shared" si="2"/>
        <v>1328.3242230999456</v>
      </c>
      <c r="E18" s="11">
        <f t="shared" si="3"/>
        <v>336.06215765133391</v>
      </c>
      <c r="F18" s="11">
        <f t="shared" si="4"/>
        <v>992.26206544861168</v>
      </c>
      <c r="G18" s="10">
        <f t="shared" si="5"/>
        <v>297342.55747693212</v>
      </c>
    </row>
    <row r="19" spans="2:7" x14ac:dyDescent="0.3">
      <c r="B19" s="9">
        <f t="shared" si="0"/>
        <v>46266</v>
      </c>
      <c r="C19" s="10">
        <f t="shared" si="1"/>
        <v>297342.55747693212</v>
      </c>
      <c r="D19" s="11">
        <f t="shared" si="2"/>
        <v>1328.3242230999456</v>
      </c>
      <c r="E19" s="11">
        <f t="shared" si="3"/>
        <v>337.18236484350507</v>
      </c>
      <c r="F19" s="11">
        <f t="shared" si="4"/>
        <v>991.14185825644051</v>
      </c>
      <c r="G19" s="10">
        <f t="shared" si="5"/>
        <v>297005.37511208863</v>
      </c>
    </row>
    <row r="20" spans="2:7" x14ac:dyDescent="0.3">
      <c r="B20" s="9">
        <f t="shared" si="0"/>
        <v>46296</v>
      </c>
      <c r="C20" s="10">
        <f t="shared" si="1"/>
        <v>297005.37511208863</v>
      </c>
      <c r="D20" s="11">
        <f t="shared" si="2"/>
        <v>1328.3242230999456</v>
      </c>
      <c r="E20" s="11">
        <f t="shared" si="3"/>
        <v>338.30630605965007</v>
      </c>
      <c r="F20" s="11">
        <f t="shared" si="4"/>
        <v>990.01791704029552</v>
      </c>
      <c r="G20" s="10">
        <f t="shared" si="5"/>
        <v>296667.06880602898</v>
      </c>
    </row>
    <row r="21" spans="2:7" x14ac:dyDescent="0.3">
      <c r="B21" s="9">
        <f t="shared" si="0"/>
        <v>46327</v>
      </c>
      <c r="C21" s="10">
        <f t="shared" si="1"/>
        <v>296667.06880602898</v>
      </c>
      <c r="D21" s="11">
        <f t="shared" si="2"/>
        <v>1328.3242230999456</v>
      </c>
      <c r="E21" s="11">
        <f t="shared" si="3"/>
        <v>339.43399374651563</v>
      </c>
      <c r="F21" s="11">
        <f t="shared" si="4"/>
        <v>988.89022935342996</v>
      </c>
      <c r="G21" s="10">
        <f t="shared" si="5"/>
        <v>296327.63481228246</v>
      </c>
    </row>
    <row r="22" spans="2:7" x14ac:dyDescent="0.3">
      <c r="B22" s="9">
        <f t="shared" si="0"/>
        <v>46357</v>
      </c>
      <c r="C22" s="10">
        <f t="shared" si="1"/>
        <v>296327.63481228246</v>
      </c>
      <c r="D22" s="11">
        <f t="shared" si="2"/>
        <v>1328.3242230999456</v>
      </c>
      <c r="E22" s="11">
        <f t="shared" si="3"/>
        <v>340.56544039233734</v>
      </c>
      <c r="F22" s="11">
        <f t="shared" si="4"/>
        <v>987.75878270760825</v>
      </c>
      <c r="G22" s="10">
        <f>C22-E22</f>
        <v>295987.0693718901</v>
      </c>
    </row>
    <row r="23" spans="2:7" x14ac:dyDescent="0.3">
      <c r="B23" s="9">
        <f t="shared" si="0"/>
        <v>46388</v>
      </c>
      <c r="C23" s="10">
        <f t="shared" si="1"/>
        <v>295987.0693718901</v>
      </c>
      <c r="D23" s="11">
        <f t="shared" si="2"/>
        <v>1328.3242230999456</v>
      </c>
      <c r="E23" s="11">
        <f t="shared" si="3"/>
        <v>341.70065852697849</v>
      </c>
      <c r="F23" s="11">
        <f t="shared" si="4"/>
        <v>986.6235645729671</v>
      </c>
      <c r="G23" s="10">
        <f t="shared" si="5"/>
        <v>295645.36871336313</v>
      </c>
    </row>
    <row r="24" spans="2:7" x14ac:dyDescent="0.3">
      <c r="B24" s="9">
        <f t="shared" si="0"/>
        <v>46419</v>
      </c>
      <c r="C24" s="10">
        <f t="shared" si="1"/>
        <v>295645.36871336313</v>
      </c>
      <c r="D24" s="11">
        <f t="shared" si="2"/>
        <v>1328.3242230999456</v>
      </c>
      <c r="E24" s="11">
        <f t="shared" si="3"/>
        <v>342.8396607220684</v>
      </c>
      <c r="F24" s="11">
        <f t="shared" si="4"/>
        <v>985.48456237787718</v>
      </c>
      <c r="G24" s="10">
        <f t="shared" si="5"/>
        <v>295302.52905264107</v>
      </c>
    </row>
    <row r="25" spans="2:7" x14ac:dyDescent="0.3">
      <c r="B25" s="9">
        <f t="shared" si="0"/>
        <v>46447</v>
      </c>
      <c r="C25" s="10">
        <f t="shared" si="1"/>
        <v>295302.52905264107</v>
      </c>
      <c r="D25" s="11">
        <f t="shared" si="2"/>
        <v>1328.3242230999456</v>
      </c>
      <c r="E25" s="11">
        <f t="shared" si="3"/>
        <v>343.98245959114195</v>
      </c>
      <c r="F25" s="11">
        <f t="shared" si="4"/>
        <v>984.34176350880364</v>
      </c>
      <c r="G25" s="10">
        <f t="shared" si="5"/>
        <v>294958.54659304995</v>
      </c>
    </row>
    <row r="26" spans="2:7" x14ac:dyDescent="0.3">
      <c r="B26" s="9">
        <f t="shared" si="0"/>
        <v>46478</v>
      </c>
      <c r="C26" s="10">
        <f t="shared" si="1"/>
        <v>294958.54659304995</v>
      </c>
      <c r="D26" s="11">
        <f t="shared" si="2"/>
        <v>1328.3242230999456</v>
      </c>
      <c r="E26" s="11">
        <f t="shared" si="3"/>
        <v>345.12906778977901</v>
      </c>
      <c r="F26" s="11">
        <f t="shared" si="4"/>
        <v>983.19515531016657</v>
      </c>
      <c r="G26" s="10">
        <f t="shared" si="5"/>
        <v>294613.41752526019</v>
      </c>
    </row>
    <row r="27" spans="2:7" x14ac:dyDescent="0.3">
      <c r="B27" s="9">
        <f t="shared" si="0"/>
        <v>46508</v>
      </c>
      <c r="C27" s="10">
        <f t="shared" si="1"/>
        <v>294613.41752526019</v>
      </c>
      <c r="D27" s="11">
        <f t="shared" si="2"/>
        <v>1328.3242230999456</v>
      </c>
      <c r="E27" s="11">
        <f t="shared" si="3"/>
        <v>346.27949801574493</v>
      </c>
      <c r="F27" s="11">
        <f t="shared" si="4"/>
        <v>982.04472508420065</v>
      </c>
      <c r="G27" s="10">
        <f t="shared" si="5"/>
        <v>294267.13802724442</v>
      </c>
    </row>
    <row r="28" spans="2:7" x14ac:dyDescent="0.3">
      <c r="B28" s="9">
        <f t="shared" si="0"/>
        <v>46539</v>
      </c>
      <c r="C28" s="10">
        <f t="shared" si="1"/>
        <v>294267.13802724442</v>
      </c>
      <c r="D28" s="11">
        <f t="shared" si="2"/>
        <v>1328.3242230999456</v>
      </c>
      <c r="E28" s="11">
        <f t="shared" si="3"/>
        <v>347.43376300913076</v>
      </c>
      <c r="F28" s="11">
        <f t="shared" si="4"/>
        <v>980.89046009081483</v>
      </c>
      <c r="G28" s="10">
        <f t="shared" si="5"/>
        <v>293919.70426423528</v>
      </c>
    </row>
    <row r="29" spans="2:7" x14ac:dyDescent="0.3">
      <c r="B29" s="9">
        <f t="shared" si="0"/>
        <v>46569</v>
      </c>
      <c r="C29" s="10">
        <f t="shared" si="1"/>
        <v>293919.70426423528</v>
      </c>
      <c r="D29" s="11">
        <f t="shared" si="2"/>
        <v>1328.3242230999456</v>
      </c>
      <c r="E29" s="11">
        <f t="shared" si="3"/>
        <v>348.59187555249457</v>
      </c>
      <c r="F29" s="11">
        <f t="shared" si="4"/>
        <v>979.73234754745101</v>
      </c>
      <c r="G29" s="10">
        <f t="shared" si="5"/>
        <v>293571.11238868278</v>
      </c>
    </row>
    <row r="30" spans="2:7" x14ac:dyDescent="0.3">
      <c r="B30" s="9">
        <f t="shared" si="0"/>
        <v>46600</v>
      </c>
      <c r="C30" s="10">
        <f t="shared" si="1"/>
        <v>293571.11238868278</v>
      </c>
      <c r="D30" s="11">
        <f t="shared" si="2"/>
        <v>1328.3242230999456</v>
      </c>
      <c r="E30" s="11">
        <f t="shared" si="3"/>
        <v>349.75384847100293</v>
      </c>
      <c r="F30" s="11">
        <f t="shared" si="4"/>
        <v>978.57037462894266</v>
      </c>
      <c r="G30" s="10">
        <f t="shared" si="5"/>
        <v>293221.3585402118</v>
      </c>
    </row>
    <row r="31" spans="2:7" x14ac:dyDescent="0.3">
      <c r="B31" s="9">
        <f t="shared" si="0"/>
        <v>46631</v>
      </c>
      <c r="C31" s="10">
        <f t="shared" si="1"/>
        <v>293221.3585402118</v>
      </c>
      <c r="D31" s="11">
        <f t="shared" si="2"/>
        <v>1328.3242230999456</v>
      </c>
      <c r="E31" s="11">
        <f t="shared" si="3"/>
        <v>350.91969463257283</v>
      </c>
      <c r="F31" s="11">
        <f t="shared" si="4"/>
        <v>977.40452846737276</v>
      </c>
      <c r="G31" s="10">
        <f t="shared" si="5"/>
        <v>292870.43884557922</v>
      </c>
    </row>
    <row r="32" spans="2:7" x14ac:dyDescent="0.3">
      <c r="B32" s="9">
        <f t="shared" si="0"/>
        <v>46661</v>
      </c>
      <c r="C32" s="10">
        <f t="shared" si="1"/>
        <v>292870.43884557922</v>
      </c>
      <c r="D32" s="11">
        <f t="shared" si="2"/>
        <v>1328.3242230999456</v>
      </c>
      <c r="E32" s="11">
        <f t="shared" si="3"/>
        <v>352.08942694801476</v>
      </c>
      <c r="F32" s="11">
        <f t="shared" si="4"/>
        <v>976.23479615193082</v>
      </c>
      <c r="G32" s="10">
        <f t="shared" si="5"/>
        <v>292518.34941863123</v>
      </c>
    </row>
    <row r="33" spans="2:7" x14ac:dyDescent="0.3">
      <c r="B33" s="9">
        <f t="shared" si="0"/>
        <v>46692</v>
      </c>
      <c r="C33" s="10">
        <f t="shared" si="1"/>
        <v>292518.34941863123</v>
      </c>
      <c r="D33" s="11">
        <f t="shared" si="2"/>
        <v>1328.3242230999456</v>
      </c>
      <c r="E33" s="11">
        <f t="shared" si="3"/>
        <v>353.26305837117479</v>
      </c>
      <c r="F33" s="11">
        <f t="shared" si="4"/>
        <v>975.06116472877079</v>
      </c>
      <c r="G33" s="10">
        <f t="shared" si="5"/>
        <v>292165.08636026003</v>
      </c>
    </row>
    <row r="34" spans="2:7" x14ac:dyDescent="0.3">
      <c r="B34" s="9">
        <f t="shared" si="0"/>
        <v>46722</v>
      </c>
      <c r="C34" s="10">
        <f t="shared" si="1"/>
        <v>292165.08636026003</v>
      </c>
      <c r="D34" s="11">
        <f t="shared" si="2"/>
        <v>1328.3242230999456</v>
      </c>
      <c r="E34" s="11">
        <f t="shared" si="3"/>
        <v>354.44060189907873</v>
      </c>
      <c r="F34" s="11">
        <f t="shared" si="4"/>
        <v>973.88362120086686</v>
      </c>
      <c r="G34" s="10">
        <f t="shared" si="5"/>
        <v>291810.64575836097</v>
      </c>
    </row>
    <row r="35" spans="2:7" x14ac:dyDescent="0.3">
      <c r="B35" s="9">
        <f t="shared" si="0"/>
        <v>46753</v>
      </c>
      <c r="C35" s="10">
        <f t="shared" si="1"/>
        <v>291810.64575836097</v>
      </c>
      <c r="D35" s="11">
        <f t="shared" si="2"/>
        <v>1328.3242230999456</v>
      </c>
      <c r="E35" s="11">
        <f t="shared" si="3"/>
        <v>355.62207057207559</v>
      </c>
      <c r="F35" s="11">
        <f t="shared" si="4"/>
        <v>972.70215252787</v>
      </c>
      <c r="G35" s="10">
        <f t="shared" si="5"/>
        <v>291455.02368778893</v>
      </c>
    </row>
    <row r="36" spans="2:7" x14ac:dyDescent="0.3">
      <c r="B36" s="9">
        <f t="shared" si="0"/>
        <v>46784</v>
      </c>
      <c r="C36" s="10">
        <f t="shared" si="1"/>
        <v>291455.02368778893</v>
      </c>
      <c r="D36" s="11">
        <f t="shared" si="2"/>
        <v>1328.3242230999456</v>
      </c>
      <c r="E36" s="11">
        <f t="shared" si="3"/>
        <v>356.80747747398243</v>
      </c>
      <c r="F36" s="11">
        <f t="shared" si="4"/>
        <v>971.51674562596315</v>
      </c>
      <c r="G36" s="10">
        <f t="shared" si="5"/>
        <v>291098.21621031495</v>
      </c>
    </row>
    <row r="37" spans="2:7" x14ac:dyDescent="0.3">
      <c r="B37" s="9">
        <f t="shared" si="0"/>
        <v>46813</v>
      </c>
      <c r="C37" s="10">
        <f t="shared" si="1"/>
        <v>291098.21621031495</v>
      </c>
      <c r="D37" s="11">
        <f t="shared" si="2"/>
        <v>1328.3242230999456</v>
      </c>
      <c r="E37" s="11">
        <f t="shared" si="3"/>
        <v>357.99683573222899</v>
      </c>
      <c r="F37" s="11">
        <f t="shared" si="4"/>
        <v>970.3273873677166</v>
      </c>
      <c r="G37" s="10">
        <f t="shared" si="5"/>
        <v>290740.2193745827</v>
      </c>
    </row>
    <row r="38" spans="2:7" x14ac:dyDescent="0.3">
      <c r="B38" s="9">
        <f t="shared" si="0"/>
        <v>46844</v>
      </c>
      <c r="C38" s="10">
        <f t="shared" si="1"/>
        <v>290740.2193745827</v>
      </c>
      <c r="D38" s="11">
        <f t="shared" si="2"/>
        <v>1328.3242230999456</v>
      </c>
      <c r="E38" s="11">
        <f t="shared" si="3"/>
        <v>359.19015851800316</v>
      </c>
      <c r="F38" s="11">
        <f t="shared" si="4"/>
        <v>969.13406458194243</v>
      </c>
      <c r="G38" s="10">
        <f t="shared" si="5"/>
        <v>290381.02921606466</v>
      </c>
    </row>
    <row r="39" spans="2:7" x14ac:dyDescent="0.3">
      <c r="B39" s="9">
        <f t="shared" si="0"/>
        <v>46874</v>
      </c>
      <c r="C39" s="10">
        <f t="shared" si="1"/>
        <v>290381.02921606466</v>
      </c>
      <c r="D39" s="11">
        <f t="shared" si="2"/>
        <v>1328.3242230999456</v>
      </c>
      <c r="E39" s="11">
        <f t="shared" si="3"/>
        <v>360.38745904639666</v>
      </c>
      <c r="F39" s="11">
        <f t="shared" si="4"/>
        <v>967.93676405354893</v>
      </c>
      <c r="G39" s="10">
        <f t="shared" si="5"/>
        <v>290020.64175701828</v>
      </c>
    </row>
    <row r="40" spans="2:7" x14ac:dyDescent="0.3">
      <c r="B40" s="9">
        <f t="shared" si="0"/>
        <v>46905</v>
      </c>
      <c r="C40" s="10">
        <f t="shared" si="1"/>
        <v>290020.64175701828</v>
      </c>
      <c r="D40" s="11">
        <f t="shared" si="2"/>
        <v>1328.3242230999456</v>
      </c>
      <c r="E40" s="11">
        <f t="shared" si="3"/>
        <v>361.58875057655121</v>
      </c>
      <c r="F40" s="11">
        <f t="shared" si="4"/>
        <v>966.73547252339438</v>
      </c>
      <c r="G40" s="10">
        <f t="shared" si="5"/>
        <v>289659.05300644174</v>
      </c>
    </row>
    <row r="41" spans="2:7" x14ac:dyDescent="0.3">
      <c r="B41" s="9">
        <f t="shared" si="0"/>
        <v>46935</v>
      </c>
      <c r="C41" s="10">
        <f t="shared" si="1"/>
        <v>289659.05300644174</v>
      </c>
      <c r="D41" s="11">
        <f t="shared" si="2"/>
        <v>1328.3242230999456</v>
      </c>
      <c r="E41" s="11">
        <f t="shared" si="3"/>
        <v>362.79404641180633</v>
      </c>
      <c r="F41" s="11">
        <f t="shared" si="4"/>
        <v>965.53017668813925</v>
      </c>
      <c r="G41" s="10">
        <f t="shared" si="5"/>
        <v>289296.25896002993</v>
      </c>
    </row>
    <row r="42" spans="2:7" x14ac:dyDescent="0.3">
      <c r="B42" s="9">
        <f t="shared" si="0"/>
        <v>46966</v>
      </c>
      <c r="C42" s="10">
        <f t="shared" si="1"/>
        <v>289296.25896002993</v>
      </c>
      <c r="D42" s="11">
        <f t="shared" si="2"/>
        <v>1328.3242230999456</v>
      </c>
      <c r="E42" s="11">
        <f t="shared" si="3"/>
        <v>364.0033598998458</v>
      </c>
      <c r="F42" s="11">
        <f t="shared" si="4"/>
        <v>964.32086320009978</v>
      </c>
      <c r="G42" s="10">
        <f t="shared" si="5"/>
        <v>288932.25560013007</v>
      </c>
    </row>
    <row r="43" spans="2:7" x14ac:dyDescent="0.3">
      <c r="B43" s="9">
        <f t="shared" si="0"/>
        <v>46997</v>
      </c>
      <c r="C43" s="10">
        <f t="shared" si="1"/>
        <v>288932.25560013007</v>
      </c>
      <c r="D43" s="11">
        <f t="shared" si="2"/>
        <v>1328.3242230999456</v>
      </c>
      <c r="E43" s="11">
        <f t="shared" si="3"/>
        <v>365.21670443284529</v>
      </c>
      <c r="F43" s="11">
        <f t="shared" si="4"/>
        <v>963.10751866710029</v>
      </c>
      <c r="G43" s="10">
        <f t="shared" si="5"/>
        <v>288567.03889569722</v>
      </c>
    </row>
    <row r="44" spans="2:7" x14ac:dyDescent="0.3">
      <c r="B44" s="9">
        <f t="shared" si="0"/>
        <v>47027</v>
      </c>
      <c r="C44" s="10">
        <f t="shared" si="1"/>
        <v>288567.03889569722</v>
      </c>
      <c r="D44" s="11">
        <f t="shared" si="2"/>
        <v>1328.3242230999456</v>
      </c>
      <c r="E44" s="11">
        <f t="shared" si="3"/>
        <v>366.43409344762142</v>
      </c>
      <c r="F44" s="11">
        <f t="shared" si="4"/>
        <v>961.89012965232416</v>
      </c>
      <c r="G44" s="10">
        <f t="shared" si="5"/>
        <v>288200.60480224958</v>
      </c>
    </row>
    <row r="45" spans="2:7" x14ac:dyDescent="0.3">
      <c r="B45" s="9">
        <f t="shared" si="0"/>
        <v>47058</v>
      </c>
      <c r="C45" s="10">
        <f t="shared" si="1"/>
        <v>288200.60480224958</v>
      </c>
      <c r="D45" s="11">
        <f t="shared" si="2"/>
        <v>1328.3242230999456</v>
      </c>
      <c r="E45" s="11">
        <f t="shared" si="3"/>
        <v>367.65554042578026</v>
      </c>
      <c r="F45" s="11">
        <f t="shared" si="4"/>
        <v>960.66868267416532</v>
      </c>
      <c r="G45" s="10">
        <f t="shared" si="5"/>
        <v>287832.94926182379</v>
      </c>
    </row>
    <row r="46" spans="2:7" x14ac:dyDescent="0.3">
      <c r="B46" s="9">
        <f t="shared" si="0"/>
        <v>47088</v>
      </c>
      <c r="C46" s="10">
        <f t="shared" si="1"/>
        <v>287832.94926182379</v>
      </c>
      <c r="D46" s="11">
        <f t="shared" si="2"/>
        <v>1328.3242230999456</v>
      </c>
      <c r="E46" s="11">
        <f t="shared" si="3"/>
        <v>368.88105889386622</v>
      </c>
      <c r="F46" s="11">
        <f t="shared" si="4"/>
        <v>959.44316420607936</v>
      </c>
      <c r="G46" s="10">
        <f t="shared" si="5"/>
        <v>287464.06820292992</v>
      </c>
    </row>
    <row r="47" spans="2:7" x14ac:dyDescent="0.3">
      <c r="B47" s="9">
        <f t="shared" si="0"/>
        <v>47119</v>
      </c>
      <c r="C47" s="10">
        <f t="shared" si="1"/>
        <v>287464.06820292992</v>
      </c>
      <c r="D47" s="11">
        <f t="shared" si="2"/>
        <v>1328.3242230999456</v>
      </c>
      <c r="E47" s="11">
        <f t="shared" si="3"/>
        <v>370.11066242351251</v>
      </c>
      <c r="F47" s="11">
        <f t="shared" si="4"/>
        <v>958.21356067643308</v>
      </c>
      <c r="G47" s="10">
        <f t="shared" si="5"/>
        <v>287093.95754050638</v>
      </c>
    </row>
    <row r="48" spans="2:7" x14ac:dyDescent="0.3">
      <c r="B48" s="9">
        <f t="shared" si="0"/>
        <v>47150</v>
      </c>
      <c r="C48" s="10">
        <f t="shared" si="1"/>
        <v>287093.95754050638</v>
      </c>
      <c r="D48" s="11">
        <f t="shared" si="2"/>
        <v>1328.3242230999456</v>
      </c>
      <c r="E48" s="11">
        <f t="shared" si="3"/>
        <v>371.34436463159091</v>
      </c>
      <c r="F48" s="11">
        <f t="shared" si="4"/>
        <v>956.97985846835468</v>
      </c>
      <c r="G48" s="10">
        <f t="shared" si="5"/>
        <v>286722.61317587481</v>
      </c>
    </row>
    <row r="49" spans="2:7" x14ac:dyDescent="0.3">
      <c r="B49" s="9">
        <f t="shared" si="0"/>
        <v>47178</v>
      </c>
      <c r="C49" s="10">
        <f t="shared" si="1"/>
        <v>286722.61317587481</v>
      </c>
      <c r="D49" s="11">
        <f t="shared" si="2"/>
        <v>1328.3242230999456</v>
      </c>
      <c r="E49" s="11">
        <f t="shared" si="3"/>
        <v>372.5821791803628</v>
      </c>
      <c r="F49" s="11">
        <f t="shared" si="4"/>
        <v>955.74204391958278</v>
      </c>
      <c r="G49" s="10">
        <f t="shared" si="5"/>
        <v>286350.03099669446</v>
      </c>
    </row>
    <row r="50" spans="2:7" x14ac:dyDescent="0.3">
      <c r="B50" s="9">
        <f t="shared" si="0"/>
        <v>47209</v>
      </c>
      <c r="C50" s="10">
        <f t="shared" si="1"/>
        <v>286350.03099669446</v>
      </c>
      <c r="D50" s="11">
        <f t="shared" si="2"/>
        <v>1328.3242230999456</v>
      </c>
      <c r="E50" s="11">
        <f t="shared" si="3"/>
        <v>373.8241197776307</v>
      </c>
      <c r="F50" s="11">
        <f t="shared" si="4"/>
        <v>954.50010332231489</v>
      </c>
      <c r="G50" s="10">
        <f t="shared" si="5"/>
        <v>285976.20687691681</v>
      </c>
    </row>
    <row r="51" spans="2:7" x14ac:dyDescent="0.3">
      <c r="B51" s="9">
        <f t="shared" si="0"/>
        <v>47239</v>
      </c>
      <c r="C51" s="10">
        <f t="shared" si="1"/>
        <v>285976.20687691681</v>
      </c>
      <c r="D51" s="11">
        <f t="shared" si="2"/>
        <v>1328.3242230999456</v>
      </c>
      <c r="E51" s="11">
        <f t="shared" si="3"/>
        <v>375.07020017688944</v>
      </c>
      <c r="F51" s="11">
        <f t="shared" si="4"/>
        <v>953.25402292305614</v>
      </c>
      <c r="G51" s="10">
        <f t="shared" si="5"/>
        <v>285601.1366767399</v>
      </c>
    </row>
    <row r="52" spans="2:7" x14ac:dyDescent="0.3">
      <c r="B52" s="9">
        <f t="shared" si="0"/>
        <v>47270</v>
      </c>
      <c r="C52" s="10">
        <f t="shared" si="1"/>
        <v>285601.1366767399</v>
      </c>
      <c r="D52" s="11">
        <f t="shared" si="2"/>
        <v>1328.3242230999456</v>
      </c>
      <c r="E52" s="11">
        <f t="shared" si="3"/>
        <v>376.32043417747923</v>
      </c>
      <c r="F52" s="11">
        <f t="shared" si="4"/>
        <v>952.00378892246636</v>
      </c>
      <c r="G52" s="10">
        <f t="shared" si="5"/>
        <v>285224.81624256243</v>
      </c>
    </row>
    <row r="53" spans="2:7" x14ac:dyDescent="0.3">
      <c r="B53" s="9">
        <f t="shared" si="0"/>
        <v>47300</v>
      </c>
      <c r="C53" s="10">
        <f t="shared" si="1"/>
        <v>285224.81624256243</v>
      </c>
      <c r="D53" s="11">
        <f t="shared" si="2"/>
        <v>1328.3242230999456</v>
      </c>
      <c r="E53" s="11">
        <f t="shared" si="3"/>
        <v>377.57483562473737</v>
      </c>
      <c r="F53" s="11">
        <f t="shared" si="4"/>
        <v>950.74938747520821</v>
      </c>
      <c r="G53" s="10">
        <f t="shared" si="5"/>
        <v>284847.24140693771</v>
      </c>
    </row>
    <row r="54" spans="2:7" x14ac:dyDescent="0.3">
      <c r="B54" s="9">
        <f t="shared" si="0"/>
        <v>47331</v>
      </c>
      <c r="C54" s="10">
        <f t="shared" si="1"/>
        <v>284847.24140693771</v>
      </c>
      <c r="D54" s="11">
        <f t="shared" si="2"/>
        <v>1328.3242230999456</v>
      </c>
      <c r="E54" s="11">
        <f t="shared" si="3"/>
        <v>378.83341841015317</v>
      </c>
      <c r="F54" s="11">
        <f t="shared" si="4"/>
        <v>949.49080468979241</v>
      </c>
      <c r="G54" s="10">
        <f t="shared" si="5"/>
        <v>284468.40798852756</v>
      </c>
    </row>
    <row r="55" spans="2:7" x14ac:dyDescent="0.3">
      <c r="B55" s="9">
        <f t="shared" si="0"/>
        <v>47362</v>
      </c>
      <c r="C55" s="10">
        <f t="shared" si="1"/>
        <v>284468.40798852756</v>
      </c>
      <c r="D55" s="11">
        <f t="shared" si="2"/>
        <v>1328.3242230999456</v>
      </c>
      <c r="E55" s="11">
        <f t="shared" si="3"/>
        <v>380.09619647152033</v>
      </c>
      <c r="F55" s="11">
        <f t="shared" si="4"/>
        <v>948.22802662842525</v>
      </c>
      <c r="G55" s="10">
        <f t="shared" si="5"/>
        <v>284088.31179205602</v>
      </c>
    </row>
    <row r="56" spans="2:7" x14ac:dyDescent="0.3">
      <c r="B56" s="9">
        <f t="shared" si="0"/>
        <v>47392</v>
      </c>
      <c r="C56" s="10">
        <f t="shared" si="1"/>
        <v>284088.31179205602</v>
      </c>
      <c r="D56" s="11">
        <f t="shared" si="2"/>
        <v>1328.3242230999456</v>
      </c>
      <c r="E56" s="11">
        <f t="shared" si="3"/>
        <v>381.36318379309216</v>
      </c>
      <c r="F56" s="11">
        <f t="shared" si="4"/>
        <v>946.96103930685342</v>
      </c>
      <c r="G56" s="10">
        <f t="shared" si="5"/>
        <v>283706.94860826293</v>
      </c>
    </row>
    <row r="57" spans="2:7" x14ac:dyDescent="0.3">
      <c r="B57" s="9">
        <f t="shared" si="0"/>
        <v>47423</v>
      </c>
      <c r="C57" s="10">
        <f t="shared" si="1"/>
        <v>283706.94860826293</v>
      </c>
      <c r="D57" s="11">
        <f t="shared" si="2"/>
        <v>1328.3242230999456</v>
      </c>
      <c r="E57" s="11">
        <f t="shared" si="3"/>
        <v>382.63439440573575</v>
      </c>
      <c r="F57" s="11">
        <f t="shared" si="4"/>
        <v>945.68982869420984</v>
      </c>
      <c r="G57" s="10">
        <f t="shared" si="5"/>
        <v>283324.31421385717</v>
      </c>
    </row>
    <row r="58" spans="2:7" x14ac:dyDescent="0.3">
      <c r="B58" s="9">
        <f t="shared" si="0"/>
        <v>47453</v>
      </c>
      <c r="C58" s="10">
        <f t="shared" si="1"/>
        <v>283324.31421385717</v>
      </c>
      <c r="D58" s="11">
        <f t="shared" si="2"/>
        <v>1328.3242230999456</v>
      </c>
      <c r="E58" s="11">
        <f t="shared" si="3"/>
        <v>383.90984238708825</v>
      </c>
      <c r="F58" s="11">
        <f t="shared" si="4"/>
        <v>944.41438071285734</v>
      </c>
      <c r="G58" s="10">
        <f t="shared" si="5"/>
        <v>282940.4043714701</v>
      </c>
    </row>
    <row r="59" spans="2:7" x14ac:dyDescent="0.3">
      <c r="B59" s="9">
        <f t="shared" si="0"/>
        <v>47484</v>
      </c>
      <c r="C59" s="10">
        <f t="shared" si="1"/>
        <v>282940.4043714701</v>
      </c>
      <c r="D59" s="11">
        <f t="shared" si="2"/>
        <v>1328.3242230999456</v>
      </c>
      <c r="E59" s="11">
        <f t="shared" si="3"/>
        <v>385.18954186171186</v>
      </c>
      <c r="F59" s="11">
        <f t="shared" si="4"/>
        <v>943.13468123823372</v>
      </c>
      <c r="G59" s="10">
        <f t="shared" si="5"/>
        <v>282555.21482960839</v>
      </c>
    </row>
    <row r="60" spans="2:7" x14ac:dyDescent="0.3">
      <c r="B60" s="9">
        <f t="shared" si="0"/>
        <v>47515</v>
      </c>
      <c r="C60" s="10">
        <f t="shared" si="1"/>
        <v>282555.21482960839</v>
      </c>
      <c r="D60" s="11">
        <f t="shared" si="2"/>
        <v>1328.3242230999456</v>
      </c>
      <c r="E60" s="11">
        <f t="shared" si="3"/>
        <v>386.47350700125094</v>
      </c>
      <c r="F60" s="11">
        <f t="shared" si="4"/>
        <v>941.85071609869465</v>
      </c>
      <c r="G60" s="10">
        <f t="shared" si="5"/>
        <v>282168.74132260715</v>
      </c>
    </row>
    <row r="61" spans="2:7" x14ac:dyDescent="0.3">
      <c r="B61" s="9">
        <f t="shared" si="0"/>
        <v>47543</v>
      </c>
      <c r="C61" s="10">
        <f t="shared" si="1"/>
        <v>282168.74132260715</v>
      </c>
      <c r="D61" s="11">
        <f t="shared" si="2"/>
        <v>1328.3242230999456</v>
      </c>
      <c r="E61" s="11">
        <f t="shared" si="3"/>
        <v>387.7617520245883</v>
      </c>
      <c r="F61" s="11">
        <f t="shared" si="4"/>
        <v>940.56247107535728</v>
      </c>
      <c r="G61" s="10">
        <f t="shared" si="5"/>
        <v>281780.97957058257</v>
      </c>
    </row>
    <row r="62" spans="2:7" x14ac:dyDescent="0.3">
      <c r="B62" s="9">
        <f t="shared" si="0"/>
        <v>47574</v>
      </c>
      <c r="C62" s="10">
        <f t="shared" si="1"/>
        <v>281780.97957058257</v>
      </c>
      <c r="D62" s="11">
        <f t="shared" si="2"/>
        <v>1328.3242230999456</v>
      </c>
      <c r="E62" s="11">
        <f t="shared" si="3"/>
        <v>389.05429119800363</v>
      </c>
      <c r="F62" s="11">
        <f t="shared" si="4"/>
        <v>939.26993190194196</v>
      </c>
      <c r="G62" s="10">
        <f t="shared" si="5"/>
        <v>281391.92527938454</v>
      </c>
    </row>
    <row r="63" spans="2:7" x14ac:dyDescent="0.3">
      <c r="B63" s="9">
        <f t="shared" si="0"/>
        <v>47604</v>
      </c>
      <c r="C63" s="10">
        <f t="shared" si="1"/>
        <v>281391.92527938454</v>
      </c>
      <c r="D63" s="11">
        <f t="shared" si="2"/>
        <v>1328.3242230999456</v>
      </c>
      <c r="E63" s="11">
        <f t="shared" si="3"/>
        <v>390.3511388353304</v>
      </c>
      <c r="F63" s="11">
        <f t="shared" si="4"/>
        <v>937.97308426461518</v>
      </c>
      <c r="G63" s="10">
        <f t="shared" si="5"/>
        <v>281001.57414054923</v>
      </c>
    </row>
    <row r="64" spans="2:7" x14ac:dyDescent="0.3">
      <c r="B64" s="9">
        <f t="shared" si="0"/>
        <v>47635</v>
      </c>
      <c r="C64" s="10">
        <f t="shared" si="1"/>
        <v>281001.57414054923</v>
      </c>
      <c r="D64" s="11">
        <f t="shared" si="2"/>
        <v>1328.3242230999456</v>
      </c>
      <c r="E64" s="11">
        <f t="shared" si="3"/>
        <v>391.6523092981148</v>
      </c>
      <c r="F64" s="11">
        <f t="shared" si="4"/>
        <v>936.67191380183078</v>
      </c>
      <c r="G64" s="10">
        <f t="shared" si="5"/>
        <v>280609.92183125112</v>
      </c>
    </row>
    <row r="65" spans="2:7" x14ac:dyDescent="0.3">
      <c r="B65" s="9">
        <f t="shared" si="0"/>
        <v>47665</v>
      </c>
      <c r="C65" s="10">
        <f t="shared" si="1"/>
        <v>280609.92183125112</v>
      </c>
      <c r="D65" s="11">
        <f t="shared" si="2"/>
        <v>1328.3242230999456</v>
      </c>
      <c r="E65" s="11">
        <f t="shared" si="3"/>
        <v>392.95781699577515</v>
      </c>
      <c r="F65" s="11">
        <f t="shared" si="4"/>
        <v>935.36640610417044</v>
      </c>
      <c r="G65" s="10">
        <f t="shared" si="5"/>
        <v>280216.96401425533</v>
      </c>
    </row>
    <row r="66" spans="2:7" x14ac:dyDescent="0.3">
      <c r="B66" s="9">
        <f t="shared" si="0"/>
        <v>47696</v>
      </c>
      <c r="C66" s="10">
        <f t="shared" si="1"/>
        <v>280216.96401425533</v>
      </c>
      <c r="D66" s="11">
        <f t="shared" si="2"/>
        <v>1328.3242230999456</v>
      </c>
      <c r="E66" s="11">
        <f t="shared" si="3"/>
        <v>394.26767638576109</v>
      </c>
      <c r="F66" s="11">
        <f t="shared" si="4"/>
        <v>934.05654671418449</v>
      </c>
      <c r="G66" s="10">
        <f t="shared" si="5"/>
        <v>279822.69633786957</v>
      </c>
    </row>
    <row r="67" spans="2:7" x14ac:dyDescent="0.3">
      <c r="B67" s="9">
        <f t="shared" si="0"/>
        <v>47727</v>
      </c>
      <c r="C67" s="10">
        <f t="shared" si="1"/>
        <v>279822.69633786957</v>
      </c>
      <c r="D67" s="11">
        <f t="shared" si="2"/>
        <v>1328.3242230999456</v>
      </c>
      <c r="E67" s="11">
        <f t="shared" si="3"/>
        <v>395.58190197371368</v>
      </c>
      <c r="F67" s="11">
        <f t="shared" si="4"/>
        <v>932.7423211262319</v>
      </c>
      <c r="G67" s="10">
        <f t="shared" si="5"/>
        <v>279427.11443589587</v>
      </c>
    </row>
    <row r="68" spans="2:7" x14ac:dyDescent="0.3">
      <c r="B68" s="9">
        <f t="shared" si="0"/>
        <v>47757</v>
      </c>
      <c r="C68" s="10">
        <f t="shared" si="1"/>
        <v>279427.11443589587</v>
      </c>
      <c r="D68" s="11">
        <f t="shared" si="2"/>
        <v>1328.3242230999456</v>
      </c>
      <c r="E68" s="11">
        <f t="shared" si="3"/>
        <v>396.90050831362601</v>
      </c>
      <c r="F68" s="11">
        <f t="shared" si="4"/>
        <v>931.42371478631958</v>
      </c>
      <c r="G68" s="10">
        <f t="shared" si="5"/>
        <v>279030.21392758226</v>
      </c>
    </row>
    <row r="69" spans="2:7" x14ac:dyDescent="0.3">
      <c r="B69" s="9">
        <f t="shared" si="0"/>
        <v>47788</v>
      </c>
      <c r="C69" s="10">
        <f t="shared" si="1"/>
        <v>279030.21392758226</v>
      </c>
      <c r="D69" s="11">
        <f t="shared" si="2"/>
        <v>1328.3242230999456</v>
      </c>
      <c r="E69" s="11">
        <f t="shared" si="3"/>
        <v>398.22351000800472</v>
      </c>
      <c r="F69" s="11">
        <f t="shared" si="4"/>
        <v>930.10071309194086</v>
      </c>
      <c r="G69" s="10">
        <f t="shared" si="5"/>
        <v>278631.99041757424</v>
      </c>
    </row>
    <row r="70" spans="2:7" x14ac:dyDescent="0.3">
      <c r="B70" s="9">
        <f t="shared" si="0"/>
        <v>47818</v>
      </c>
      <c r="C70" s="10">
        <f t="shared" si="1"/>
        <v>278631.99041757424</v>
      </c>
      <c r="D70" s="11">
        <f t="shared" si="2"/>
        <v>1328.3242230999456</v>
      </c>
      <c r="E70" s="11">
        <f t="shared" si="3"/>
        <v>399.55092170803141</v>
      </c>
      <c r="F70" s="11">
        <f t="shared" si="4"/>
        <v>928.77330139191417</v>
      </c>
      <c r="G70" s="10">
        <f t="shared" si="5"/>
        <v>278232.43949586619</v>
      </c>
    </row>
    <row r="71" spans="2:7" x14ac:dyDescent="0.3">
      <c r="B71" s="9">
        <f t="shared" si="0"/>
        <v>47849</v>
      </c>
      <c r="C71" s="10">
        <f t="shared" si="1"/>
        <v>278232.43949586619</v>
      </c>
      <c r="D71" s="11">
        <f t="shared" si="2"/>
        <v>1328.3242230999456</v>
      </c>
      <c r="E71" s="11">
        <f t="shared" si="3"/>
        <v>400.88275811372489</v>
      </c>
      <c r="F71" s="11">
        <f t="shared" si="4"/>
        <v>927.44146498622069</v>
      </c>
      <c r="G71" s="10">
        <f t="shared" si="5"/>
        <v>277831.55673775246</v>
      </c>
    </row>
    <row r="72" spans="2:7" x14ac:dyDescent="0.3">
      <c r="B72" s="9">
        <f t="shared" si="0"/>
        <v>47880</v>
      </c>
      <c r="C72" s="10">
        <f t="shared" si="1"/>
        <v>277831.55673775246</v>
      </c>
      <c r="D72" s="11">
        <f t="shared" si="2"/>
        <v>1328.3242230999456</v>
      </c>
      <c r="E72" s="11">
        <f t="shared" si="3"/>
        <v>402.21903397410404</v>
      </c>
      <c r="F72" s="11">
        <f t="shared" si="4"/>
        <v>926.10518912584155</v>
      </c>
      <c r="G72" s="10">
        <f t="shared" si="5"/>
        <v>277429.33770377835</v>
      </c>
    </row>
    <row r="73" spans="2:7" x14ac:dyDescent="0.3">
      <c r="B73" s="9">
        <f t="shared" si="0"/>
        <v>47908</v>
      </c>
      <c r="C73" s="10">
        <f t="shared" si="1"/>
        <v>277429.33770377835</v>
      </c>
      <c r="D73" s="11">
        <f t="shared" si="2"/>
        <v>1328.3242230999456</v>
      </c>
      <c r="E73" s="11">
        <f t="shared" si="3"/>
        <v>403.55976408735103</v>
      </c>
      <c r="F73" s="11">
        <f t="shared" si="4"/>
        <v>924.76445901259456</v>
      </c>
      <c r="G73" s="10">
        <f t="shared" si="5"/>
        <v>277025.77793969098</v>
      </c>
    </row>
    <row r="74" spans="2:7" x14ac:dyDescent="0.3">
      <c r="B74" s="9">
        <f t="shared" si="0"/>
        <v>47939</v>
      </c>
      <c r="C74" s="10">
        <f t="shared" si="1"/>
        <v>277025.77793969098</v>
      </c>
      <c r="D74" s="11">
        <f t="shared" si="2"/>
        <v>1328.3242230999456</v>
      </c>
      <c r="E74" s="11">
        <f t="shared" si="3"/>
        <v>404.90496330097562</v>
      </c>
      <c r="F74" s="11">
        <f t="shared" si="4"/>
        <v>923.41925979896996</v>
      </c>
      <c r="G74" s="10">
        <f t="shared" si="5"/>
        <v>276620.87297639</v>
      </c>
    </row>
    <row r="75" spans="2:7" x14ac:dyDescent="0.3">
      <c r="B75" s="9">
        <f t="shared" si="0"/>
        <v>47969</v>
      </c>
      <c r="C75" s="10">
        <f t="shared" si="1"/>
        <v>276620.87297639</v>
      </c>
      <c r="D75" s="11">
        <f t="shared" si="2"/>
        <v>1328.3242230999456</v>
      </c>
      <c r="E75" s="11">
        <f t="shared" si="3"/>
        <v>406.25464651197888</v>
      </c>
      <c r="F75" s="11">
        <f t="shared" si="4"/>
        <v>922.06957658796671</v>
      </c>
      <c r="G75" s="10">
        <f t="shared" si="5"/>
        <v>276214.61832987802</v>
      </c>
    </row>
    <row r="76" spans="2:7" x14ac:dyDescent="0.3">
      <c r="B76" s="9">
        <f t="shared" si="0"/>
        <v>48000</v>
      </c>
      <c r="C76" s="10">
        <f t="shared" si="1"/>
        <v>276214.61832987802</v>
      </c>
      <c r="D76" s="11">
        <f t="shared" si="2"/>
        <v>1328.3242230999456</v>
      </c>
      <c r="E76" s="11">
        <f t="shared" si="3"/>
        <v>407.60882866701877</v>
      </c>
      <c r="F76" s="11">
        <f t="shared" si="4"/>
        <v>920.71539443292681</v>
      </c>
      <c r="G76" s="10">
        <f t="shared" si="5"/>
        <v>275807.009501211</v>
      </c>
    </row>
    <row r="77" spans="2:7" x14ac:dyDescent="0.3">
      <c r="B77" s="9">
        <f t="shared" ref="B77:B140" si="6">EDATE(B76,1)</f>
        <v>48030</v>
      </c>
      <c r="C77" s="10">
        <f t="shared" ref="C77:C140" si="7">G76</f>
        <v>275807.009501211</v>
      </c>
      <c r="D77" s="11">
        <f t="shared" ref="D77:D140" si="8">IF(G76&lt;=0.1,0,-PMT($C$6,$C$7,$C$3))</f>
        <v>1328.3242230999456</v>
      </c>
      <c r="E77" s="11">
        <f t="shared" ref="E77:E140" si="9">D77-F77</f>
        <v>408.96752476257552</v>
      </c>
      <c r="F77" s="11">
        <f t="shared" ref="F77:F140" si="10">C77*$C$6</f>
        <v>919.35669833737006</v>
      </c>
      <c r="G77" s="10">
        <f t="shared" ref="G77:G140" si="11">C77-E77</f>
        <v>275398.04197644844</v>
      </c>
    </row>
    <row r="78" spans="2:7" x14ac:dyDescent="0.3">
      <c r="B78" s="9">
        <f t="shared" si="6"/>
        <v>48061</v>
      </c>
      <c r="C78" s="10">
        <f t="shared" si="7"/>
        <v>275398.04197644844</v>
      </c>
      <c r="D78" s="11">
        <f t="shared" si="8"/>
        <v>1328.3242230999456</v>
      </c>
      <c r="E78" s="11">
        <f t="shared" si="9"/>
        <v>410.33074984511734</v>
      </c>
      <c r="F78" s="11">
        <f t="shared" si="10"/>
        <v>917.99347325482825</v>
      </c>
      <c r="G78" s="10">
        <f t="shared" si="11"/>
        <v>274987.71122660331</v>
      </c>
    </row>
    <row r="79" spans="2:7" x14ac:dyDescent="0.3">
      <c r="B79" s="9">
        <f t="shared" si="6"/>
        <v>48092</v>
      </c>
      <c r="C79" s="10">
        <f t="shared" si="7"/>
        <v>274987.71122660331</v>
      </c>
      <c r="D79" s="11">
        <f t="shared" si="8"/>
        <v>1328.3242230999456</v>
      </c>
      <c r="E79" s="11">
        <f t="shared" si="9"/>
        <v>411.69851901126788</v>
      </c>
      <c r="F79" s="11">
        <f t="shared" si="10"/>
        <v>916.62570408867771</v>
      </c>
      <c r="G79" s="10">
        <f t="shared" si="11"/>
        <v>274576.01270759205</v>
      </c>
    </row>
    <row r="80" spans="2:7" x14ac:dyDescent="0.3">
      <c r="B80" s="9">
        <f t="shared" si="6"/>
        <v>48122</v>
      </c>
      <c r="C80" s="10">
        <f t="shared" si="7"/>
        <v>274576.01270759205</v>
      </c>
      <c r="D80" s="11">
        <f t="shared" si="8"/>
        <v>1328.3242230999456</v>
      </c>
      <c r="E80" s="11">
        <f t="shared" si="9"/>
        <v>413.070847407972</v>
      </c>
      <c r="F80" s="11">
        <f t="shared" si="10"/>
        <v>915.25337569197359</v>
      </c>
      <c r="G80" s="10">
        <f t="shared" si="11"/>
        <v>274162.94186018407</v>
      </c>
    </row>
    <row r="81" spans="2:7" x14ac:dyDescent="0.3">
      <c r="B81" s="9">
        <f t="shared" si="6"/>
        <v>48153</v>
      </c>
      <c r="C81" s="10">
        <f t="shared" si="7"/>
        <v>274162.94186018407</v>
      </c>
      <c r="D81" s="11">
        <f t="shared" si="8"/>
        <v>1328.3242230999456</v>
      </c>
      <c r="E81" s="11">
        <f t="shared" si="9"/>
        <v>414.44775023266527</v>
      </c>
      <c r="F81" s="11">
        <f t="shared" si="10"/>
        <v>913.87647286728031</v>
      </c>
      <c r="G81" s="10">
        <f t="shared" si="11"/>
        <v>273748.49410995143</v>
      </c>
    </row>
    <row r="82" spans="2:7" x14ac:dyDescent="0.3">
      <c r="B82" s="9">
        <f t="shared" si="6"/>
        <v>48183</v>
      </c>
      <c r="C82" s="10">
        <f t="shared" si="7"/>
        <v>273748.49410995143</v>
      </c>
      <c r="D82" s="11">
        <f t="shared" si="8"/>
        <v>1328.3242230999456</v>
      </c>
      <c r="E82" s="11">
        <f t="shared" si="9"/>
        <v>415.82924273344076</v>
      </c>
      <c r="F82" s="11">
        <f t="shared" si="10"/>
        <v>912.49498036650482</v>
      </c>
      <c r="G82" s="10">
        <f t="shared" si="11"/>
        <v>273332.664867218</v>
      </c>
    </row>
    <row r="83" spans="2:7" x14ac:dyDescent="0.3">
      <c r="B83" s="9">
        <f t="shared" si="6"/>
        <v>48214</v>
      </c>
      <c r="C83" s="10">
        <f t="shared" si="7"/>
        <v>273332.664867218</v>
      </c>
      <c r="D83" s="11">
        <f t="shared" si="8"/>
        <v>1328.3242230999456</v>
      </c>
      <c r="E83" s="11">
        <f t="shared" si="9"/>
        <v>417.21534020921888</v>
      </c>
      <c r="F83" s="11">
        <f t="shared" si="10"/>
        <v>911.1088828907267</v>
      </c>
      <c r="G83" s="10">
        <f t="shared" si="11"/>
        <v>272915.44952700881</v>
      </c>
    </row>
    <row r="84" spans="2:7" x14ac:dyDescent="0.3">
      <c r="B84" s="9">
        <f t="shared" si="6"/>
        <v>48245</v>
      </c>
      <c r="C84" s="10">
        <f t="shared" si="7"/>
        <v>272915.44952700881</v>
      </c>
      <c r="D84" s="11">
        <f t="shared" si="8"/>
        <v>1328.3242230999456</v>
      </c>
      <c r="E84" s="11">
        <f t="shared" si="9"/>
        <v>418.60605800991618</v>
      </c>
      <c r="F84" s="11">
        <f t="shared" si="10"/>
        <v>909.7181650900294</v>
      </c>
      <c r="G84" s="10">
        <f t="shared" si="11"/>
        <v>272496.84346899891</v>
      </c>
    </row>
    <row r="85" spans="2:7" x14ac:dyDescent="0.3">
      <c r="B85" s="9">
        <f t="shared" si="6"/>
        <v>48274</v>
      </c>
      <c r="C85" s="10">
        <f t="shared" si="7"/>
        <v>272496.84346899891</v>
      </c>
      <c r="D85" s="11">
        <f t="shared" si="8"/>
        <v>1328.3242230999456</v>
      </c>
      <c r="E85" s="11">
        <f t="shared" si="9"/>
        <v>420.00141153661582</v>
      </c>
      <c r="F85" s="11">
        <f t="shared" si="10"/>
        <v>908.32281156332976</v>
      </c>
      <c r="G85" s="10">
        <f t="shared" si="11"/>
        <v>272076.84205746232</v>
      </c>
    </row>
    <row r="86" spans="2:7" x14ac:dyDescent="0.3">
      <c r="B86" s="9">
        <f t="shared" si="6"/>
        <v>48305</v>
      </c>
      <c r="C86" s="10">
        <f t="shared" si="7"/>
        <v>272076.84205746232</v>
      </c>
      <c r="D86" s="11">
        <f t="shared" si="8"/>
        <v>1328.3242230999456</v>
      </c>
      <c r="E86" s="11">
        <f t="shared" si="9"/>
        <v>421.40141624173782</v>
      </c>
      <c r="F86" s="11">
        <f t="shared" si="10"/>
        <v>906.92280685820776</v>
      </c>
      <c r="G86" s="10">
        <f t="shared" si="11"/>
        <v>271655.4406412206</v>
      </c>
    </row>
    <row r="87" spans="2:7" x14ac:dyDescent="0.3">
      <c r="B87" s="9">
        <f t="shared" si="6"/>
        <v>48335</v>
      </c>
      <c r="C87" s="10">
        <f t="shared" si="7"/>
        <v>271655.4406412206</v>
      </c>
      <c r="D87" s="11">
        <f t="shared" si="8"/>
        <v>1328.3242230999456</v>
      </c>
      <c r="E87" s="11">
        <f t="shared" si="9"/>
        <v>422.8060876292102</v>
      </c>
      <c r="F87" s="11">
        <f t="shared" si="10"/>
        <v>905.51813547073539</v>
      </c>
      <c r="G87" s="10">
        <f t="shared" si="11"/>
        <v>271232.63455359137</v>
      </c>
    </row>
    <row r="88" spans="2:7" x14ac:dyDescent="0.3">
      <c r="B88" s="9">
        <f t="shared" si="6"/>
        <v>48366</v>
      </c>
      <c r="C88" s="10">
        <f t="shared" si="7"/>
        <v>271232.63455359137</v>
      </c>
      <c r="D88" s="11">
        <f t="shared" si="8"/>
        <v>1328.3242230999456</v>
      </c>
      <c r="E88" s="11">
        <f t="shared" si="9"/>
        <v>424.21544125464095</v>
      </c>
      <c r="F88" s="11">
        <f t="shared" si="10"/>
        <v>904.10878184530463</v>
      </c>
      <c r="G88" s="10">
        <f t="shared" si="11"/>
        <v>270808.41911233671</v>
      </c>
    </row>
    <row r="89" spans="2:7" x14ac:dyDescent="0.3">
      <c r="B89" s="9">
        <f t="shared" si="6"/>
        <v>48396</v>
      </c>
      <c r="C89" s="10">
        <f t="shared" si="7"/>
        <v>270808.41911233671</v>
      </c>
      <c r="D89" s="11">
        <f t="shared" si="8"/>
        <v>1328.3242230999456</v>
      </c>
      <c r="E89" s="11">
        <f t="shared" si="9"/>
        <v>425.62949272548985</v>
      </c>
      <c r="F89" s="11">
        <f t="shared" si="10"/>
        <v>902.69473037445573</v>
      </c>
      <c r="G89" s="10">
        <f t="shared" si="11"/>
        <v>270382.78961961123</v>
      </c>
    </row>
    <row r="90" spans="2:7" x14ac:dyDescent="0.3">
      <c r="B90" s="9">
        <f t="shared" si="6"/>
        <v>48427</v>
      </c>
      <c r="C90" s="10">
        <f t="shared" si="7"/>
        <v>270382.78961961123</v>
      </c>
      <c r="D90" s="11">
        <f t="shared" si="8"/>
        <v>1328.3242230999456</v>
      </c>
      <c r="E90" s="11">
        <f t="shared" si="9"/>
        <v>427.04825770124148</v>
      </c>
      <c r="F90" s="11">
        <f t="shared" si="10"/>
        <v>901.2759653987041</v>
      </c>
      <c r="G90" s="10">
        <f t="shared" si="11"/>
        <v>269955.74136191001</v>
      </c>
    </row>
    <row r="91" spans="2:7" x14ac:dyDescent="0.3">
      <c r="B91" s="9">
        <f t="shared" si="6"/>
        <v>48458</v>
      </c>
      <c r="C91" s="10">
        <f t="shared" si="7"/>
        <v>269955.74136191001</v>
      </c>
      <c r="D91" s="11">
        <f t="shared" si="8"/>
        <v>1328.3242230999456</v>
      </c>
      <c r="E91" s="11">
        <f t="shared" si="9"/>
        <v>428.47175189357881</v>
      </c>
      <c r="F91" s="11">
        <f t="shared" si="10"/>
        <v>899.85247120636677</v>
      </c>
      <c r="G91" s="10">
        <f t="shared" si="11"/>
        <v>269527.26961001643</v>
      </c>
    </row>
    <row r="92" spans="2:7" x14ac:dyDescent="0.3">
      <c r="B92" s="9">
        <f t="shared" si="6"/>
        <v>48488</v>
      </c>
      <c r="C92" s="10">
        <f t="shared" si="7"/>
        <v>269527.26961001643</v>
      </c>
      <c r="D92" s="11">
        <f t="shared" si="8"/>
        <v>1328.3242230999456</v>
      </c>
      <c r="E92" s="11">
        <f t="shared" si="9"/>
        <v>429.89999106655739</v>
      </c>
      <c r="F92" s="11">
        <f t="shared" si="10"/>
        <v>898.42423203338819</v>
      </c>
      <c r="G92" s="10">
        <f t="shared" si="11"/>
        <v>269097.36961894989</v>
      </c>
    </row>
    <row r="93" spans="2:7" x14ac:dyDescent="0.3">
      <c r="B93" s="9">
        <f t="shared" si="6"/>
        <v>48519</v>
      </c>
      <c r="C93" s="10">
        <f t="shared" si="7"/>
        <v>269097.36961894989</v>
      </c>
      <c r="D93" s="11">
        <f t="shared" si="8"/>
        <v>1328.3242230999456</v>
      </c>
      <c r="E93" s="11">
        <f t="shared" si="9"/>
        <v>431.33299103677928</v>
      </c>
      <c r="F93" s="11">
        <f t="shared" si="10"/>
        <v>896.99123206316631</v>
      </c>
      <c r="G93" s="10">
        <f t="shared" si="11"/>
        <v>268666.03662791313</v>
      </c>
    </row>
    <row r="94" spans="2:7" x14ac:dyDescent="0.3">
      <c r="B94" s="9">
        <f t="shared" si="6"/>
        <v>48549</v>
      </c>
      <c r="C94" s="10">
        <f t="shared" si="7"/>
        <v>268666.03662791313</v>
      </c>
      <c r="D94" s="11">
        <f t="shared" si="8"/>
        <v>1328.3242230999456</v>
      </c>
      <c r="E94" s="11">
        <f t="shared" si="9"/>
        <v>432.77076767356846</v>
      </c>
      <c r="F94" s="11">
        <f t="shared" si="10"/>
        <v>895.55345542637713</v>
      </c>
      <c r="G94" s="10">
        <f t="shared" si="11"/>
        <v>268233.26586023957</v>
      </c>
    </row>
    <row r="95" spans="2:7" x14ac:dyDescent="0.3">
      <c r="B95" s="9">
        <f t="shared" si="6"/>
        <v>48580</v>
      </c>
      <c r="C95" s="10">
        <f t="shared" si="7"/>
        <v>268233.26586023957</v>
      </c>
      <c r="D95" s="11">
        <f t="shared" si="8"/>
        <v>1328.3242230999456</v>
      </c>
      <c r="E95" s="11">
        <f t="shared" si="9"/>
        <v>434.21333689914695</v>
      </c>
      <c r="F95" s="11">
        <f t="shared" si="10"/>
        <v>894.11088620079863</v>
      </c>
      <c r="G95" s="10">
        <f t="shared" si="11"/>
        <v>267799.05252334045</v>
      </c>
    </row>
    <row r="96" spans="2:7" x14ac:dyDescent="0.3">
      <c r="B96" s="9">
        <f t="shared" si="6"/>
        <v>48611</v>
      </c>
      <c r="C96" s="10">
        <f t="shared" si="7"/>
        <v>267799.05252334045</v>
      </c>
      <c r="D96" s="11">
        <f t="shared" si="8"/>
        <v>1328.3242230999456</v>
      </c>
      <c r="E96" s="11">
        <f t="shared" si="9"/>
        <v>435.66071468881069</v>
      </c>
      <c r="F96" s="11">
        <f t="shared" si="10"/>
        <v>892.6635084111349</v>
      </c>
      <c r="G96" s="10">
        <f t="shared" si="11"/>
        <v>267363.39180865162</v>
      </c>
    </row>
    <row r="97" spans="2:7" x14ac:dyDescent="0.3">
      <c r="B97" s="9">
        <f t="shared" si="6"/>
        <v>48639</v>
      </c>
      <c r="C97" s="10">
        <f t="shared" si="7"/>
        <v>267363.39180865162</v>
      </c>
      <c r="D97" s="11">
        <f t="shared" si="8"/>
        <v>1328.3242230999456</v>
      </c>
      <c r="E97" s="11">
        <f t="shared" si="9"/>
        <v>437.11291707110684</v>
      </c>
      <c r="F97" s="11">
        <f t="shared" si="10"/>
        <v>891.21130602883875</v>
      </c>
      <c r="G97" s="10">
        <f t="shared" si="11"/>
        <v>266926.27889158053</v>
      </c>
    </row>
    <row r="98" spans="2:7" x14ac:dyDescent="0.3">
      <c r="B98" s="9">
        <f t="shared" si="6"/>
        <v>48670</v>
      </c>
      <c r="C98" s="10">
        <f t="shared" si="7"/>
        <v>266926.27889158053</v>
      </c>
      <c r="D98" s="11">
        <f t="shared" si="8"/>
        <v>1328.3242230999456</v>
      </c>
      <c r="E98" s="11">
        <f t="shared" si="9"/>
        <v>438.56996012801039</v>
      </c>
      <c r="F98" s="11">
        <f t="shared" si="10"/>
        <v>889.75426297193519</v>
      </c>
      <c r="G98" s="10">
        <f t="shared" si="11"/>
        <v>266487.70893145254</v>
      </c>
    </row>
    <row r="99" spans="2:7" x14ac:dyDescent="0.3">
      <c r="B99" s="9">
        <f t="shared" si="6"/>
        <v>48700</v>
      </c>
      <c r="C99" s="10">
        <f t="shared" si="7"/>
        <v>266487.70893145254</v>
      </c>
      <c r="D99" s="11">
        <f t="shared" si="8"/>
        <v>1328.3242230999456</v>
      </c>
      <c r="E99" s="11">
        <f t="shared" si="9"/>
        <v>440.03185999510379</v>
      </c>
      <c r="F99" s="11">
        <f t="shared" si="10"/>
        <v>888.2923631048418</v>
      </c>
      <c r="G99" s="10">
        <f t="shared" si="11"/>
        <v>266047.67707145744</v>
      </c>
    </row>
    <row r="100" spans="2:7" x14ac:dyDescent="0.3">
      <c r="B100" s="9">
        <f t="shared" si="6"/>
        <v>48731</v>
      </c>
      <c r="C100" s="10">
        <f t="shared" si="7"/>
        <v>266047.67707145744</v>
      </c>
      <c r="D100" s="11">
        <f t="shared" si="8"/>
        <v>1328.3242230999456</v>
      </c>
      <c r="E100" s="11">
        <f t="shared" si="9"/>
        <v>441.49863286175412</v>
      </c>
      <c r="F100" s="11">
        <f t="shared" si="10"/>
        <v>886.82559023819147</v>
      </c>
      <c r="G100" s="10">
        <f t="shared" si="11"/>
        <v>265606.17843859567</v>
      </c>
    </row>
    <row r="101" spans="2:7" x14ac:dyDescent="0.3">
      <c r="B101" s="9">
        <f t="shared" si="6"/>
        <v>48761</v>
      </c>
      <c r="C101" s="10">
        <f t="shared" si="7"/>
        <v>265606.17843859567</v>
      </c>
      <c r="D101" s="11">
        <f t="shared" si="8"/>
        <v>1328.3242230999456</v>
      </c>
      <c r="E101" s="11">
        <f t="shared" si="9"/>
        <v>442.97029497129324</v>
      </c>
      <c r="F101" s="11">
        <f t="shared" si="10"/>
        <v>885.35392812865234</v>
      </c>
      <c r="G101" s="10">
        <f t="shared" si="11"/>
        <v>265163.20814362436</v>
      </c>
    </row>
    <row r="102" spans="2:7" x14ac:dyDescent="0.3">
      <c r="B102" s="9">
        <f t="shared" si="6"/>
        <v>48792</v>
      </c>
      <c r="C102" s="10">
        <f t="shared" si="7"/>
        <v>265163.20814362436</v>
      </c>
      <c r="D102" s="11">
        <f t="shared" si="8"/>
        <v>1328.3242230999456</v>
      </c>
      <c r="E102" s="11">
        <f t="shared" si="9"/>
        <v>444.44686262119762</v>
      </c>
      <c r="F102" s="11">
        <f t="shared" si="10"/>
        <v>883.87736047874796</v>
      </c>
      <c r="G102" s="10">
        <f t="shared" si="11"/>
        <v>264718.76128100319</v>
      </c>
    </row>
    <row r="103" spans="2:7" x14ac:dyDescent="0.3">
      <c r="B103" s="9">
        <f t="shared" si="6"/>
        <v>48823</v>
      </c>
      <c r="C103" s="10">
        <f t="shared" si="7"/>
        <v>264718.76128100319</v>
      </c>
      <c r="D103" s="11">
        <f t="shared" si="8"/>
        <v>1328.3242230999456</v>
      </c>
      <c r="E103" s="11">
        <f t="shared" si="9"/>
        <v>445.92835216326819</v>
      </c>
      <c r="F103" s="11">
        <f t="shared" si="10"/>
        <v>882.3958709366774</v>
      </c>
      <c r="G103" s="10">
        <f t="shared" si="11"/>
        <v>264272.8329288399</v>
      </c>
    </row>
    <row r="104" spans="2:7" x14ac:dyDescent="0.3">
      <c r="B104" s="9">
        <f t="shared" si="6"/>
        <v>48853</v>
      </c>
      <c r="C104" s="10">
        <f t="shared" si="7"/>
        <v>264272.8329288399</v>
      </c>
      <c r="D104" s="11">
        <f t="shared" si="8"/>
        <v>1328.3242230999456</v>
      </c>
      <c r="E104" s="11">
        <f t="shared" si="9"/>
        <v>447.41478000381255</v>
      </c>
      <c r="F104" s="11">
        <f t="shared" si="10"/>
        <v>880.90944309613303</v>
      </c>
      <c r="G104" s="10">
        <f t="shared" si="11"/>
        <v>263825.41814883606</v>
      </c>
    </row>
    <row r="105" spans="2:7" x14ac:dyDescent="0.3">
      <c r="B105" s="9">
        <f t="shared" si="6"/>
        <v>48884</v>
      </c>
      <c r="C105" s="10">
        <f t="shared" si="7"/>
        <v>263825.41814883606</v>
      </c>
      <c r="D105" s="11">
        <f t="shared" si="8"/>
        <v>1328.3242230999456</v>
      </c>
      <c r="E105" s="11">
        <f t="shared" si="9"/>
        <v>448.90616260382535</v>
      </c>
      <c r="F105" s="11">
        <f t="shared" si="10"/>
        <v>879.41806049612023</v>
      </c>
      <c r="G105" s="10">
        <f t="shared" si="11"/>
        <v>263376.51198623225</v>
      </c>
    </row>
    <row r="106" spans="2:7" x14ac:dyDescent="0.3">
      <c r="B106" s="9">
        <f t="shared" si="6"/>
        <v>48914</v>
      </c>
      <c r="C106" s="10">
        <f t="shared" si="7"/>
        <v>263376.51198623225</v>
      </c>
      <c r="D106" s="11">
        <f t="shared" si="8"/>
        <v>1328.3242230999456</v>
      </c>
      <c r="E106" s="11">
        <f t="shared" si="9"/>
        <v>450.40251647917137</v>
      </c>
      <c r="F106" s="11">
        <f t="shared" si="10"/>
        <v>877.92170662077422</v>
      </c>
      <c r="G106" s="10">
        <f t="shared" si="11"/>
        <v>262926.10946975305</v>
      </c>
    </row>
    <row r="107" spans="2:7" x14ac:dyDescent="0.3">
      <c r="B107" s="9">
        <f t="shared" si="6"/>
        <v>48945</v>
      </c>
      <c r="C107" s="10">
        <f t="shared" si="7"/>
        <v>262926.10946975305</v>
      </c>
      <c r="D107" s="11">
        <f t="shared" si="8"/>
        <v>1328.3242230999456</v>
      </c>
      <c r="E107" s="11">
        <f t="shared" si="9"/>
        <v>451.9038582007687</v>
      </c>
      <c r="F107" s="11">
        <f t="shared" si="10"/>
        <v>876.42036489917689</v>
      </c>
      <c r="G107" s="10">
        <f t="shared" si="11"/>
        <v>262474.20561155229</v>
      </c>
    </row>
    <row r="108" spans="2:7" x14ac:dyDescent="0.3">
      <c r="B108" s="9">
        <f t="shared" si="6"/>
        <v>48976</v>
      </c>
      <c r="C108" s="10">
        <f t="shared" si="7"/>
        <v>262474.20561155229</v>
      </c>
      <c r="D108" s="11">
        <f t="shared" si="8"/>
        <v>1328.3242230999456</v>
      </c>
      <c r="E108" s="11">
        <f t="shared" si="9"/>
        <v>453.4102043947712</v>
      </c>
      <c r="F108" s="11">
        <f t="shared" si="10"/>
        <v>874.91401870517439</v>
      </c>
      <c r="G108" s="10">
        <f t="shared" si="11"/>
        <v>262020.79540715751</v>
      </c>
    </row>
    <row r="109" spans="2:7" x14ac:dyDescent="0.3">
      <c r="B109" s="9">
        <f t="shared" si="6"/>
        <v>49004</v>
      </c>
      <c r="C109" s="10">
        <f t="shared" si="7"/>
        <v>262020.79540715751</v>
      </c>
      <c r="D109" s="11">
        <f t="shared" si="8"/>
        <v>1328.3242230999456</v>
      </c>
      <c r="E109" s="11">
        <f t="shared" si="9"/>
        <v>454.92157174275383</v>
      </c>
      <c r="F109" s="11">
        <f t="shared" si="10"/>
        <v>873.40265135719176</v>
      </c>
      <c r="G109" s="10">
        <f t="shared" si="11"/>
        <v>261565.87383541476</v>
      </c>
    </row>
    <row r="110" spans="2:7" x14ac:dyDescent="0.3">
      <c r="B110" s="9">
        <f t="shared" si="6"/>
        <v>49035</v>
      </c>
      <c r="C110" s="10">
        <f t="shared" si="7"/>
        <v>261565.87383541476</v>
      </c>
      <c r="D110" s="11">
        <f t="shared" si="8"/>
        <v>1328.3242230999456</v>
      </c>
      <c r="E110" s="11">
        <f t="shared" si="9"/>
        <v>456.43797698189633</v>
      </c>
      <c r="F110" s="11">
        <f t="shared" si="10"/>
        <v>871.88624611804926</v>
      </c>
      <c r="G110" s="10">
        <f t="shared" si="11"/>
        <v>261109.43585843287</v>
      </c>
    </row>
    <row r="111" spans="2:7" x14ac:dyDescent="0.3">
      <c r="B111" s="9">
        <f t="shared" si="6"/>
        <v>49065</v>
      </c>
      <c r="C111" s="10">
        <f t="shared" si="7"/>
        <v>261109.43585843287</v>
      </c>
      <c r="D111" s="11">
        <f t="shared" si="8"/>
        <v>1328.3242230999456</v>
      </c>
      <c r="E111" s="11">
        <f t="shared" si="9"/>
        <v>457.95943690516924</v>
      </c>
      <c r="F111" s="11">
        <f t="shared" si="10"/>
        <v>870.36478619477634</v>
      </c>
      <c r="G111" s="10">
        <f t="shared" si="11"/>
        <v>260651.47642152771</v>
      </c>
    </row>
    <row r="112" spans="2:7" x14ac:dyDescent="0.3">
      <c r="B112" s="9">
        <f t="shared" si="6"/>
        <v>49096</v>
      </c>
      <c r="C112" s="10">
        <f t="shared" si="7"/>
        <v>260651.47642152771</v>
      </c>
      <c r="D112" s="11">
        <f t="shared" si="8"/>
        <v>1328.3242230999456</v>
      </c>
      <c r="E112" s="11">
        <f t="shared" si="9"/>
        <v>459.48596836151978</v>
      </c>
      <c r="F112" s="11">
        <f t="shared" si="10"/>
        <v>868.8382547384258</v>
      </c>
      <c r="G112" s="10">
        <f t="shared" si="11"/>
        <v>260191.99045316619</v>
      </c>
    </row>
    <row r="113" spans="2:7" x14ac:dyDescent="0.3">
      <c r="B113" s="9">
        <f t="shared" si="6"/>
        <v>49126</v>
      </c>
      <c r="C113" s="10">
        <f t="shared" si="7"/>
        <v>260191.99045316619</v>
      </c>
      <c r="D113" s="11">
        <f t="shared" si="8"/>
        <v>1328.3242230999456</v>
      </c>
      <c r="E113" s="11">
        <f t="shared" si="9"/>
        <v>461.01758825605827</v>
      </c>
      <c r="F113" s="11">
        <f t="shared" si="10"/>
        <v>867.30663484388731</v>
      </c>
      <c r="G113" s="10">
        <f t="shared" si="11"/>
        <v>259730.97286491012</v>
      </c>
    </row>
    <row r="114" spans="2:7" x14ac:dyDescent="0.3">
      <c r="B114" s="9">
        <f t="shared" si="6"/>
        <v>49157</v>
      </c>
      <c r="C114" s="10">
        <f t="shared" si="7"/>
        <v>259730.97286491012</v>
      </c>
      <c r="D114" s="11">
        <f t="shared" si="8"/>
        <v>1328.3242230999456</v>
      </c>
      <c r="E114" s="11">
        <f t="shared" si="9"/>
        <v>462.55431355024518</v>
      </c>
      <c r="F114" s="11">
        <f t="shared" si="10"/>
        <v>865.7699095497004</v>
      </c>
      <c r="G114" s="10">
        <f t="shared" si="11"/>
        <v>259268.41855135988</v>
      </c>
    </row>
    <row r="115" spans="2:7" x14ac:dyDescent="0.3">
      <c r="B115" s="9">
        <f t="shared" si="6"/>
        <v>49188</v>
      </c>
      <c r="C115" s="10">
        <f t="shared" si="7"/>
        <v>259268.41855135988</v>
      </c>
      <c r="D115" s="11">
        <f t="shared" si="8"/>
        <v>1328.3242230999456</v>
      </c>
      <c r="E115" s="11">
        <f t="shared" si="9"/>
        <v>464.09616126207925</v>
      </c>
      <c r="F115" s="11">
        <f t="shared" si="10"/>
        <v>864.22806183786633</v>
      </c>
      <c r="G115" s="10">
        <f t="shared" si="11"/>
        <v>258804.3223900978</v>
      </c>
    </row>
    <row r="116" spans="2:7" x14ac:dyDescent="0.3">
      <c r="B116" s="9">
        <f t="shared" si="6"/>
        <v>49218</v>
      </c>
      <c r="C116" s="10">
        <f t="shared" si="7"/>
        <v>258804.3223900978</v>
      </c>
      <c r="D116" s="11">
        <f t="shared" si="8"/>
        <v>1328.3242230999456</v>
      </c>
      <c r="E116" s="11">
        <f t="shared" si="9"/>
        <v>465.64314846628622</v>
      </c>
      <c r="F116" s="11">
        <f t="shared" si="10"/>
        <v>862.68107463365936</v>
      </c>
      <c r="G116" s="10">
        <f t="shared" si="11"/>
        <v>258338.67924163153</v>
      </c>
    </row>
    <row r="117" spans="2:7" x14ac:dyDescent="0.3">
      <c r="B117" s="9">
        <f t="shared" si="6"/>
        <v>49249</v>
      </c>
      <c r="C117" s="10">
        <f t="shared" si="7"/>
        <v>258338.67924163153</v>
      </c>
      <c r="D117" s="11">
        <f t="shared" si="8"/>
        <v>1328.3242230999456</v>
      </c>
      <c r="E117" s="11">
        <f t="shared" si="9"/>
        <v>467.19529229450711</v>
      </c>
      <c r="F117" s="11">
        <f t="shared" si="10"/>
        <v>861.12893080543847</v>
      </c>
      <c r="G117" s="10">
        <f t="shared" si="11"/>
        <v>257871.48394933701</v>
      </c>
    </row>
    <row r="118" spans="2:7" x14ac:dyDescent="0.3">
      <c r="B118" s="9">
        <f t="shared" si="6"/>
        <v>49279</v>
      </c>
      <c r="C118" s="10">
        <f t="shared" si="7"/>
        <v>257871.48394933701</v>
      </c>
      <c r="D118" s="11">
        <f t="shared" si="8"/>
        <v>1328.3242230999456</v>
      </c>
      <c r="E118" s="11">
        <f t="shared" si="9"/>
        <v>468.75260993548886</v>
      </c>
      <c r="F118" s="11">
        <f t="shared" si="10"/>
        <v>859.57161316445672</v>
      </c>
      <c r="G118" s="10">
        <f t="shared" si="11"/>
        <v>257402.73133940151</v>
      </c>
    </row>
    <row r="119" spans="2:7" x14ac:dyDescent="0.3">
      <c r="B119" s="9">
        <f t="shared" si="6"/>
        <v>49310</v>
      </c>
      <c r="C119" s="10">
        <f t="shared" si="7"/>
        <v>257402.73133940151</v>
      </c>
      <c r="D119" s="11">
        <f t="shared" si="8"/>
        <v>1328.3242230999456</v>
      </c>
      <c r="E119" s="11">
        <f t="shared" si="9"/>
        <v>470.31511863527385</v>
      </c>
      <c r="F119" s="11">
        <f t="shared" si="10"/>
        <v>858.00910446467174</v>
      </c>
      <c r="G119" s="10">
        <f t="shared" si="11"/>
        <v>256932.41622076623</v>
      </c>
    </row>
    <row r="120" spans="2:7" x14ac:dyDescent="0.3">
      <c r="B120" s="9">
        <f t="shared" si="6"/>
        <v>49341</v>
      </c>
      <c r="C120" s="10">
        <f t="shared" si="7"/>
        <v>256932.41622076623</v>
      </c>
      <c r="D120" s="11">
        <f t="shared" si="8"/>
        <v>1328.3242230999456</v>
      </c>
      <c r="E120" s="11">
        <f t="shared" si="9"/>
        <v>471.88283569739144</v>
      </c>
      <c r="F120" s="11">
        <f t="shared" si="10"/>
        <v>856.44138740255414</v>
      </c>
      <c r="G120" s="10">
        <f t="shared" si="11"/>
        <v>256460.53338506885</v>
      </c>
    </row>
    <row r="121" spans="2:7" x14ac:dyDescent="0.3">
      <c r="B121" s="9">
        <f t="shared" si="6"/>
        <v>49369</v>
      </c>
      <c r="C121" s="10">
        <f t="shared" si="7"/>
        <v>256460.53338506885</v>
      </c>
      <c r="D121" s="11">
        <f t="shared" si="8"/>
        <v>1328.3242230999456</v>
      </c>
      <c r="E121" s="11">
        <f t="shared" si="9"/>
        <v>473.45577848304936</v>
      </c>
      <c r="F121" s="11">
        <f t="shared" si="10"/>
        <v>854.86844461689623</v>
      </c>
      <c r="G121" s="10">
        <f t="shared" si="11"/>
        <v>255987.07760658581</v>
      </c>
    </row>
    <row r="122" spans="2:7" x14ac:dyDescent="0.3">
      <c r="B122" s="9">
        <f t="shared" si="6"/>
        <v>49400</v>
      </c>
      <c r="C122" s="10">
        <f t="shared" si="7"/>
        <v>255987.07760658581</v>
      </c>
      <c r="D122" s="11">
        <f t="shared" si="8"/>
        <v>1328.3242230999456</v>
      </c>
      <c r="E122" s="11">
        <f t="shared" si="9"/>
        <v>475.03396441132622</v>
      </c>
      <c r="F122" s="11">
        <f t="shared" si="10"/>
        <v>853.29025868861936</v>
      </c>
      <c r="G122" s="10">
        <f t="shared" si="11"/>
        <v>255512.04364217448</v>
      </c>
    </row>
    <row r="123" spans="2:7" x14ac:dyDescent="0.3">
      <c r="B123" s="9">
        <f t="shared" si="6"/>
        <v>49430</v>
      </c>
      <c r="C123" s="10">
        <f t="shared" si="7"/>
        <v>255512.04364217448</v>
      </c>
      <c r="D123" s="11">
        <f t="shared" si="8"/>
        <v>1328.3242230999456</v>
      </c>
      <c r="E123" s="11">
        <f t="shared" si="9"/>
        <v>476.61741095936395</v>
      </c>
      <c r="F123" s="11">
        <f t="shared" si="10"/>
        <v>851.70681214058163</v>
      </c>
      <c r="G123" s="10">
        <f t="shared" si="11"/>
        <v>255035.42623121513</v>
      </c>
    </row>
    <row r="124" spans="2:7" x14ac:dyDescent="0.3">
      <c r="B124" s="9">
        <f t="shared" si="6"/>
        <v>49461</v>
      </c>
      <c r="C124" s="10">
        <f t="shared" si="7"/>
        <v>255035.42623121513</v>
      </c>
      <c r="D124" s="11">
        <f t="shared" si="8"/>
        <v>1328.3242230999456</v>
      </c>
      <c r="E124" s="11">
        <f t="shared" si="9"/>
        <v>478.20613566256179</v>
      </c>
      <c r="F124" s="11">
        <f t="shared" si="10"/>
        <v>850.11808743738379</v>
      </c>
      <c r="G124" s="10">
        <f t="shared" si="11"/>
        <v>254557.22009555256</v>
      </c>
    </row>
    <row r="125" spans="2:7" x14ac:dyDescent="0.3">
      <c r="B125" s="9">
        <f t="shared" si="6"/>
        <v>49491</v>
      </c>
      <c r="C125" s="10">
        <f t="shared" si="7"/>
        <v>254557.22009555256</v>
      </c>
      <c r="D125" s="11">
        <f t="shared" si="8"/>
        <v>1328.3242230999456</v>
      </c>
      <c r="E125" s="11">
        <f t="shared" si="9"/>
        <v>479.80015611477029</v>
      </c>
      <c r="F125" s="11">
        <f t="shared" si="10"/>
        <v>848.5240669851753</v>
      </c>
      <c r="G125" s="10">
        <f t="shared" si="11"/>
        <v>254077.41993943779</v>
      </c>
    </row>
    <row r="126" spans="2:7" x14ac:dyDescent="0.3">
      <c r="B126" s="9">
        <f t="shared" si="6"/>
        <v>49522</v>
      </c>
      <c r="C126" s="10">
        <f t="shared" si="7"/>
        <v>254077.41993943779</v>
      </c>
      <c r="D126" s="11">
        <f t="shared" si="8"/>
        <v>1328.3242230999456</v>
      </c>
      <c r="E126" s="11">
        <f t="shared" si="9"/>
        <v>481.39948996848625</v>
      </c>
      <c r="F126" s="11">
        <f t="shared" si="10"/>
        <v>846.92473313145933</v>
      </c>
      <c r="G126" s="10">
        <f t="shared" si="11"/>
        <v>253596.0204494693</v>
      </c>
    </row>
    <row r="127" spans="2:7" x14ac:dyDescent="0.3">
      <c r="B127" s="9">
        <f t="shared" si="6"/>
        <v>49553</v>
      </c>
      <c r="C127" s="10">
        <f t="shared" si="7"/>
        <v>253596.0204494693</v>
      </c>
      <c r="D127" s="11">
        <f t="shared" si="8"/>
        <v>1328.3242230999456</v>
      </c>
      <c r="E127" s="11">
        <f t="shared" si="9"/>
        <v>483.00415493504784</v>
      </c>
      <c r="F127" s="11">
        <f t="shared" si="10"/>
        <v>845.32006816489775</v>
      </c>
      <c r="G127" s="10">
        <f t="shared" si="11"/>
        <v>253113.01629453426</v>
      </c>
    </row>
    <row r="128" spans="2:7" x14ac:dyDescent="0.3">
      <c r="B128" s="9">
        <f t="shared" si="6"/>
        <v>49583</v>
      </c>
      <c r="C128" s="10">
        <f t="shared" si="7"/>
        <v>253113.01629453426</v>
      </c>
      <c r="D128" s="11">
        <f t="shared" si="8"/>
        <v>1328.3242230999456</v>
      </c>
      <c r="E128" s="11">
        <f t="shared" si="9"/>
        <v>484.61416878483135</v>
      </c>
      <c r="F128" s="11">
        <f t="shared" si="10"/>
        <v>843.71005431511423</v>
      </c>
      <c r="G128" s="10">
        <f t="shared" si="11"/>
        <v>252628.40212574942</v>
      </c>
    </row>
    <row r="129" spans="2:7" x14ac:dyDescent="0.3">
      <c r="B129" s="9">
        <f t="shared" si="6"/>
        <v>49614</v>
      </c>
      <c r="C129" s="10">
        <f t="shared" si="7"/>
        <v>252628.40212574942</v>
      </c>
      <c r="D129" s="11">
        <f t="shared" si="8"/>
        <v>1328.3242230999456</v>
      </c>
      <c r="E129" s="11">
        <f t="shared" si="9"/>
        <v>486.22954934744746</v>
      </c>
      <c r="F129" s="11">
        <f t="shared" si="10"/>
        <v>842.09467375249812</v>
      </c>
      <c r="G129" s="10">
        <f t="shared" si="11"/>
        <v>252142.17257640196</v>
      </c>
    </row>
    <row r="130" spans="2:7" x14ac:dyDescent="0.3">
      <c r="B130" s="9">
        <f t="shared" si="6"/>
        <v>49644</v>
      </c>
      <c r="C130" s="10">
        <f t="shared" si="7"/>
        <v>252142.17257640196</v>
      </c>
      <c r="D130" s="11">
        <f t="shared" si="8"/>
        <v>1328.3242230999456</v>
      </c>
      <c r="E130" s="11">
        <f t="shared" si="9"/>
        <v>487.85031451193902</v>
      </c>
      <c r="F130" s="11">
        <f t="shared" si="10"/>
        <v>840.47390858800657</v>
      </c>
      <c r="G130" s="10">
        <f t="shared" si="11"/>
        <v>251654.32226189002</v>
      </c>
    </row>
    <row r="131" spans="2:7" x14ac:dyDescent="0.3">
      <c r="B131" s="9">
        <f t="shared" si="6"/>
        <v>49675</v>
      </c>
      <c r="C131" s="10">
        <f t="shared" si="7"/>
        <v>251654.32226189002</v>
      </c>
      <c r="D131" s="11">
        <f t="shared" si="8"/>
        <v>1328.3242230999456</v>
      </c>
      <c r="E131" s="11">
        <f t="shared" si="9"/>
        <v>489.47648222697876</v>
      </c>
      <c r="F131" s="11">
        <f t="shared" si="10"/>
        <v>838.84774087296682</v>
      </c>
      <c r="G131" s="10">
        <f t="shared" si="11"/>
        <v>251164.84577966304</v>
      </c>
    </row>
    <row r="132" spans="2:7" x14ac:dyDescent="0.3">
      <c r="B132" s="9">
        <f t="shared" si="6"/>
        <v>49706</v>
      </c>
      <c r="C132" s="10">
        <f t="shared" si="7"/>
        <v>251164.84577966304</v>
      </c>
      <c r="D132" s="11">
        <f t="shared" si="8"/>
        <v>1328.3242230999456</v>
      </c>
      <c r="E132" s="11">
        <f t="shared" si="9"/>
        <v>491.10807050106871</v>
      </c>
      <c r="F132" s="11">
        <f t="shared" si="10"/>
        <v>837.21615259887687</v>
      </c>
      <c r="G132" s="10">
        <f t="shared" si="11"/>
        <v>250673.73770916197</v>
      </c>
    </row>
    <row r="133" spans="2:7" x14ac:dyDescent="0.3">
      <c r="B133" s="9">
        <f t="shared" si="6"/>
        <v>49735</v>
      </c>
      <c r="C133" s="10">
        <f t="shared" si="7"/>
        <v>250673.73770916197</v>
      </c>
      <c r="D133" s="11">
        <f t="shared" si="8"/>
        <v>1328.3242230999456</v>
      </c>
      <c r="E133" s="11">
        <f t="shared" si="9"/>
        <v>492.74509740273891</v>
      </c>
      <c r="F133" s="11">
        <f t="shared" si="10"/>
        <v>835.57912569720668</v>
      </c>
      <c r="G133" s="10">
        <f t="shared" si="11"/>
        <v>250180.99261175923</v>
      </c>
    </row>
    <row r="134" spans="2:7" x14ac:dyDescent="0.3">
      <c r="B134" s="9">
        <f t="shared" si="6"/>
        <v>49766</v>
      </c>
      <c r="C134" s="10">
        <f t="shared" si="7"/>
        <v>250180.99261175923</v>
      </c>
      <c r="D134" s="11">
        <f t="shared" si="8"/>
        <v>1328.3242230999456</v>
      </c>
      <c r="E134" s="11">
        <f t="shared" si="9"/>
        <v>494.38758106074806</v>
      </c>
      <c r="F134" s="11">
        <f t="shared" si="10"/>
        <v>833.93664203919752</v>
      </c>
      <c r="G134" s="10">
        <f t="shared" si="11"/>
        <v>249686.60503069847</v>
      </c>
    </row>
    <row r="135" spans="2:7" x14ac:dyDescent="0.3">
      <c r="B135" s="9">
        <f t="shared" si="6"/>
        <v>49796</v>
      </c>
      <c r="C135" s="10">
        <f t="shared" si="7"/>
        <v>249686.60503069847</v>
      </c>
      <c r="D135" s="11">
        <f t="shared" si="8"/>
        <v>1328.3242230999456</v>
      </c>
      <c r="E135" s="11">
        <f t="shared" si="9"/>
        <v>496.03553966428399</v>
      </c>
      <c r="F135" s="11">
        <f t="shared" si="10"/>
        <v>832.2886834356616</v>
      </c>
      <c r="G135" s="10">
        <f t="shared" si="11"/>
        <v>249190.5694910342</v>
      </c>
    </row>
    <row r="136" spans="2:7" x14ac:dyDescent="0.3">
      <c r="B136" s="9">
        <f t="shared" si="6"/>
        <v>49827</v>
      </c>
      <c r="C136" s="10">
        <f t="shared" si="7"/>
        <v>249190.5694910342</v>
      </c>
      <c r="D136" s="11">
        <f t="shared" si="8"/>
        <v>1328.3242230999456</v>
      </c>
      <c r="E136" s="11">
        <f t="shared" si="9"/>
        <v>497.68899146316483</v>
      </c>
      <c r="F136" s="11">
        <f t="shared" si="10"/>
        <v>830.63523163678076</v>
      </c>
      <c r="G136" s="10">
        <f t="shared" si="11"/>
        <v>248692.88049957104</v>
      </c>
    </row>
    <row r="137" spans="2:7" x14ac:dyDescent="0.3">
      <c r="B137" s="9">
        <f t="shared" si="6"/>
        <v>49857</v>
      </c>
      <c r="C137" s="10">
        <f t="shared" si="7"/>
        <v>248692.88049957104</v>
      </c>
      <c r="D137" s="11">
        <f t="shared" si="8"/>
        <v>1328.3242230999456</v>
      </c>
      <c r="E137" s="11">
        <f t="shared" si="9"/>
        <v>499.34795476804209</v>
      </c>
      <c r="F137" s="11">
        <f t="shared" si="10"/>
        <v>828.9762683319035</v>
      </c>
      <c r="G137" s="10">
        <f t="shared" si="11"/>
        <v>248193.53254480299</v>
      </c>
    </row>
    <row r="138" spans="2:7" x14ac:dyDescent="0.3">
      <c r="B138" s="9">
        <f t="shared" si="6"/>
        <v>49888</v>
      </c>
      <c r="C138" s="10">
        <f t="shared" si="7"/>
        <v>248193.53254480299</v>
      </c>
      <c r="D138" s="11">
        <f t="shared" si="8"/>
        <v>1328.3242230999456</v>
      </c>
      <c r="E138" s="11">
        <f t="shared" si="9"/>
        <v>501.01244795060222</v>
      </c>
      <c r="F138" s="11">
        <f t="shared" si="10"/>
        <v>827.31177514934336</v>
      </c>
      <c r="G138" s="10">
        <f t="shared" si="11"/>
        <v>247692.52009685239</v>
      </c>
    </row>
    <row r="139" spans="2:7" x14ac:dyDescent="0.3">
      <c r="B139" s="9">
        <f t="shared" si="6"/>
        <v>49919</v>
      </c>
      <c r="C139" s="10">
        <f t="shared" si="7"/>
        <v>247692.52009685239</v>
      </c>
      <c r="D139" s="11">
        <f t="shared" si="8"/>
        <v>1328.3242230999456</v>
      </c>
      <c r="E139" s="11">
        <f t="shared" si="9"/>
        <v>502.68248944377092</v>
      </c>
      <c r="F139" s="11">
        <f t="shared" si="10"/>
        <v>825.64173365617467</v>
      </c>
      <c r="G139" s="10">
        <f t="shared" si="11"/>
        <v>247189.83760740861</v>
      </c>
    </row>
    <row r="140" spans="2:7" x14ac:dyDescent="0.3">
      <c r="B140" s="9">
        <f t="shared" si="6"/>
        <v>49949</v>
      </c>
      <c r="C140" s="10">
        <f t="shared" si="7"/>
        <v>247189.83760740861</v>
      </c>
      <c r="D140" s="11">
        <f t="shared" si="8"/>
        <v>1328.3242230999456</v>
      </c>
      <c r="E140" s="11">
        <f t="shared" si="9"/>
        <v>504.35809774191682</v>
      </c>
      <c r="F140" s="11">
        <f t="shared" si="10"/>
        <v>823.96612535802876</v>
      </c>
      <c r="G140" s="10">
        <f t="shared" si="11"/>
        <v>246685.47950966671</v>
      </c>
    </row>
    <row r="141" spans="2:7" x14ac:dyDescent="0.3">
      <c r="B141" s="9">
        <f t="shared" ref="B141:B204" si="12">EDATE(B140,1)</f>
        <v>49980</v>
      </c>
      <c r="C141" s="10">
        <f t="shared" ref="C141:C204" si="13">G140</f>
        <v>246685.47950966671</v>
      </c>
      <c r="D141" s="11">
        <f t="shared" ref="D141:D204" si="14">IF(G140&lt;=0.1,0,-PMT($C$6,$C$7,$C$3))</f>
        <v>1328.3242230999456</v>
      </c>
      <c r="E141" s="11">
        <f t="shared" ref="E141:E204" si="15">D141-F141</f>
        <v>506.03929140105652</v>
      </c>
      <c r="F141" s="11">
        <f t="shared" ref="F141:F204" si="16">C141*$C$6</f>
        <v>822.28493169888907</v>
      </c>
      <c r="G141" s="10">
        <f t="shared" ref="G141:G204" si="17">C141-E141</f>
        <v>246179.44021826566</v>
      </c>
    </row>
    <row r="142" spans="2:7" x14ac:dyDescent="0.3">
      <c r="B142" s="9">
        <f t="shared" si="12"/>
        <v>50010</v>
      </c>
      <c r="C142" s="10">
        <f t="shared" si="13"/>
        <v>246179.44021826566</v>
      </c>
      <c r="D142" s="11">
        <f t="shared" si="14"/>
        <v>1328.3242230999456</v>
      </c>
      <c r="E142" s="11">
        <f t="shared" si="15"/>
        <v>507.72608903905996</v>
      </c>
      <c r="F142" s="11">
        <f t="shared" si="16"/>
        <v>820.59813406088563</v>
      </c>
      <c r="G142" s="10">
        <f t="shared" si="17"/>
        <v>245671.7141292266</v>
      </c>
    </row>
    <row r="143" spans="2:7" x14ac:dyDescent="0.3">
      <c r="B143" s="9">
        <f t="shared" si="12"/>
        <v>50041</v>
      </c>
      <c r="C143" s="10">
        <f t="shared" si="13"/>
        <v>245671.7141292266</v>
      </c>
      <c r="D143" s="11">
        <f t="shared" si="14"/>
        <v>1328.3242230999456</v>
      </c>
      <c r="E143" s="11">
        <f t="shared" si="15"/>
        <v>509.41850933585681</v>
      </c>
      <c r="F143" s="11">
        <f t="shared" si="16"/>
        <v>818.90571376408877</v>
      </c>
      <c r="G143" s="10">
        <f t="shared" si="17"/>
        <v>245162.29561989073</v>
      </c>
    </row>
    <row r="144" spans="2:7" x14ac:dyDescent="0.3">
      <c r="B144" s="9">
        <f t="shared" si="12"/>
        <v>50072</v>
      </c>
      <c r="C144" s="10">
        <f t="shared" si="13"/>
        <v>245162.29561989073</v>
      </c>
      <c r="D144" s="11">
        <f t="shared" si="14"/>
        <v>1328.3242230999456</v>
      </c>
      <c r="E144" s="11">
        <f t="shared" si="15"/>
        <v>511.11657103364314</v>
      </c>
      <c r="F144" s="11">
        <f t="shared" si="16"/>
        <v>817.20765206630244</v>
      </c>
      <c r="G144" s="10">
        <f t="shared" si="17"/>
        <v>244651.1790488571</v>
      </c>
    </row>
    <row r="145" spans="2:7" x14ac:dyDescent="0.3">
      <c r="B145" s="9">
        <f t="shared" si="12"/>
        <v>50100</v>
      </c>
      <c r="C145" s="10">
        <f t="shared" si="13"/>
        <v>244651.1790488571</v>
      </c>
      <c r="D145" s="11">
        <f t="shared" si="14"/>
        <v>1328.3242230999456</v>
      </c>
      <c r="E145" s="11">
        <f t="shared" si="15"/>
        <v>512.82029293708854</v>
      </c>
      <c r="F145" s="11">
        <f t="shared" si="16"/>
        <v>815.50393016285705</v>
      </c>
      <c r="G145" s="10">
        <f t="shared" si="17"/>
        <v>244138.35875592002</v>
      </c>
    </row>
    <row r="146" spans="2:7" x14ac:dyDescent="0.3">
      <c r="B146" s="9">
        <f t="shared" si="12"/>
        <v>50131</v>
      </c>
      <c r="C146" s="10">
        <f t="shared" si="13"/>
        <v>244138.35875592002</v>
      </c>
      <c r="D146" s="11">
        <f t="shared" si="14"/>
        <v>1328.3242230999456</v>
      </c>
      <c r="E146" s="11">
        <f t="shared" si="15"/>
        <v>514.52969391354543</v>
      </c>
      <c r="F146" s="11">
        <f t="shared" si="16"/>
        <v>813.79452918640015</v>
      </c>
      <c r="G146" s="10">
        <f t="shared" si="17"/>
        <v>243623.82906200647</v>
      </c>
    </row>
    <row r="147" spans="2:7" x14ac:dyDescent="0.3">
      <c r="B147" s="9">
        <f t="shared" si="12"/>
        <v>50161</v>
      </c>
      <c r="C147" s="10">
        <f t="shared" si="13"/>
        <v>243623.82906200647</v>
      </c>
      <c r="D147" s="11">
        <f t="shared" si="14"/>
        <v>1328.3242230999456</v>
      </c>
      <c r="E147" s="11">
        <f t="shared" si="15"/>
        <v>516.24479289325734</v>
      </c>
      <c r="F147" s="11">
        <f t="shared" si="16"/>
        <v>812.07943020668824</v>
      </c>
      <c r="G147" s="10">
        <f t="shared" si="17"/>
        <v>243107.5842691132</v>
      </c>
    </row>
    <row r="148" spans="2:7" x14ac:dyDescent="0.3">
      <c r="B148" s="9">
        <f t="shared" si="12"/>
        <v>50192</v>
      </c>
      <c r="C148" s="10">
        <f t="shared" si="13"/>
        <v>243107.5842691132</v>
      </c>
      <c r="D148" s="11">
        <f t="shared" si="14"/>
        <v>1328.3242230999456</v>
      </c>
      <c r="E148" s="11">
        <f t="shared" si="15"/>
        <v>517.9656088695682</v>
      </c>
      <c r="F148" s="11">
        <f t="shared" si="16"/>
        <v>810.35861423037738</v>
      </c>
      <c r="G148" s="10">
        <f t="shared" si="17"/>
        <v>242589.61866024364</v>
      </c>
    </row>
    <row r="149" spans="2:7" x14ac:dyDescent="0.3">
      <c r="B149" s="9">
        <f t="shared" si="12"/>
        <v>50222</v>
      </c>
      <c r="C149" s="10">
        <f t="shared" si="13"/>
        <v>242589.61866024364</v>
      </c>
      <c r="D149" s="11">
        <f t="shared" si="14"/>
        <v>1328.3242230999456</v>
      </c>
      <c r="E149" s="11">
        <f t="shared" si="15"/>
        <v>519.69216089913346</v>
      </c>
      <c r="F149" s="11">
        <f t="shared" si="16"/>
        <v>808.63206220081213</v>
      </c>
      <c r="G149" s="10">
        <f t="shared" si="17"/>
        <v>242069.9264993445</v>
      </c>
    </row>
    <row r="150" spans="2:7" x14ac:dyDescent="0.3">
      <c r="B150" s="9">
        <f t="shared" si="12"/>
        <v>50253</v>
      </c>
      <c r="C150" s="10">
        <f t="shared" si="13"/>
        <v>242069.9264993445</v>
      </c>
      <c r="D150" s="11">
        <f t="shared" si="14"/>
        <v>1328.3242230999456</v>
      </c>
      <c r="E150" s="11">
        <f t="shared" si="15"/>
        <v>521.4244681021305</v>
      </c>
      <c r="F150" s="11">
        <f t="shared" si="16"/>
        <v>806.89975499781508</v>
      </c>
      <c r="G150" s="10">
        <f t="shared" si="17"/>
        <v>241548.50203124236</v>
      </c>
    </row>
    <row r="151" spans="2:7" x14ac:dyDescent="0.3">
      <c r="B151" s="9">
        <f t="shared" si="12"/>
        <v>50284</v>
      </c>
      <c r="C151" s="10">
        <f t="shared" si="13"/>
        <v>241548.50203124236</v>
      </c>
      <c r="D151" s="11">
        <f t="shared" si="14"/>
        <v>1328.3242230999456</v>
      </c>
      <c r="E151" s="11">
        <f t="shared" si="15"/>
        <v>523.16254966247095</v>
      </c>
      <c r="F151" s="11">
        <f t="shared" si="16"/>
        <v>805.16167343747463</v>
      </c>
      <c r="G151" s="10">
        <f t="shared" si="17"/>
        <v>241025.3394815799</v>
      </c>
    </row>
    <row r="152" spans="2:7" x14ac:dyDescent="0.3">
      <c r="B152" s="9">
        <f t="shared" si="12"/>
        <v>50314</v>
      </c>
      <c r="C152" s="10">
        <f t="shared" si="13"/>
        <v>241025.3394815799</v>
      </c>
      <c r="D152" s="11">
        <f t="shared" si="14"/>
        <v>1328.3242230999456</v>
      </c>
      <c r="E152" s="11">
        <f t="shared" si="15"/>
        <v>524.90642482801252</v>
      </c>
      <c r="F152" s="11">
        <f t="shared" si="16"/>
        <v>803.41779827193307</v>
      </c>
      <c r="G152" s="10">
        <f t="shared" si="17"/>
        <v>240500.43305675188</v>
      </c>
    </row>
    <row r="153" spans="2:7" x14ac:dyDescent="0.3">
      <c r="B153" s="9">
        <f t="shared" si="12"/>
        <v>50345</v>
      </c>
      <c r="C153" s="10">
        <f t="shared" si="13"/>
        <v>240500.43305675188</v>
      </c>
      <c r="D153" s="11">
        <f t="shared" si="14"/>
        <v>1328.3242230999456</v>
      </c>
      <c r="E153" s="11">
        <f t="shared" si="15"/>
        <v>526.65611291077266</v>
      </c>
      <c r="F153" s="11">
        <f t="shared" si="16"/>
        <v>801.66811018917292</v>
      </c>
      <c r="G153" s="10">
        <f t="shared" si="17"/>
        <v>239973.77694384111</v>
      </c>
    </row>
    <row r="154" spans="2:7" x14ac:dyDescent="0.3">
      <c r="B154" s="9">
        <f t="shared" si="12"/>
        <v>50375</v>
      </c>
      <c r="C154" s="10">
        <f t="shared" si="13"/>
        <v>239973.77694384111</v>
      </c>
      <c r="D154" s="11">
        <f t="shared" si="14"/>
        <v>1328.3242230999456</v>
      </c>
      <c r="E154" s="11">
        <f t="shared" si="15"/>
        <v>528.41163328714185</v>
      </c>
      <c r="F154" s="11">
        <f t="shared" si="16"/>
        <v>799.91258981280373</v>
      </c>
      <c r="G154" s="10">
        <f t="shared" si="17"/>
        <v>239445.36531055396</v>
      </c>
    </row>
    <row r="155" spans="2:7" x14ac:dyDescent="0.3">
      <c r="B155" s="9">
        <f t="shared" si="12"/>
        <v>50406</v>
      </c>
      <c r="C155" s="10">
        <f t="shared" si="13"/>
        <v>239445.36531055396</v>
      </c>
      <c r="D155" s="11">
        <f t="shared" si="14"/>
        <v>1328.3242230999456</v>
      </c>
      <c r="E155" s="11">
        <f t="shared" si="15"/>
        <v>530.17300539809901</v>
      </c>
      <c r="F155" s="11">
        <f t="shared" si="16"/>
        <v>798.15121770184658</v>
      </c>
      <c r="G155" s="10">
        <f t="shared" si="17"/>
        <v>238915.19230515586</v>
      </c>
    </row>
    <row r="156" spans="2:7" x14ac:dyDescent="0.3">
      <c r="B156" s="9">
        <f t="shared" si="12"/>
        <v>50437</v>
      </c>
      <c r="C156" s="10">
        <f t="shared" si="13"/>
        <v>238915.19230515586</v>
      </c>
      <c r="D156" s="11">
        <f t="shared" si="14"/>
        <v>1328.3242230999456</v>
      </c>
      <c r="E156" s="11">
        <f t="shared" si="15"/>
        <v>531.94024874942602</v>
      </c>
      <c r="F156" s="11">
        <f t="shared" si="16"/>
        <v>796.38397435051957</v>
      </c>
      <c r="G156" s="10">
        <f t="shared" si="17"/>
        <v>238383.25205640643</v>
      </c>
    </row>
    <row r="157" spans="2:7" x14ac:dyDescent="0.3">
      <c r="B157" s="9">
        <f t="shared" si="12"/>
        <v>50465</v>
      </c>
      <c r="C157" s="10">
        <f t="shared" si="13"/>
        <v>238383.25205640643</v>
      </c>
      <c r="D157" s="11">
        <f t="shared" si="14"/>
        <v>1328.3242230999456</v>
      </c>
      <c r="E157" s="11">
        <f t="shared" si="15"/>
        <v>533.7133829119241</v>
      </c>
      <c r="F157" s="11">
        <f t="shared" si="16"/>
        <v>794.61084018802148</v>
      </c>
      <c r="G157" s="10">
        <f t="shared" si="17"/>
        <v>237849.53867349451</v>
      </c>
    </row>
    <row r="158" spans="2:7" x14ac:dyDescent="0.3">
      <c r="B158" s="9">
        <f t="shared" si="12"/>
        <v>50496</v>
      </c>
      <c r="C158" s="10">
        <f t="shared" si="13"/>
        <v>237849.53867349451</v>
      </c>
      <c r="D158" s="11">
        <f t="shared" si="14"/>
        <v>1328.3242230999456</v>
      </c>
      <c r="E158" s="11">
        <f t="shared" si="15"/>
        <v>535.49242752163047</v>
      </c>
      <c r="F158" s="11">
        <f t="shared" si="16"/>
        <v>792.83179557831511</v>
      </c>
      <c r="G158" s="10">
        <f t="shared" si="17"/>
        <v>237314.04624597289</v>
      </c>
    </row>
    <row r="159" spans="2:7" x14ac:dyDescent="0.3">
      <c r="B159" s="9">
        <f t="shared" si="12"/>
        <v>50526</v>
      </c>
      <c r="C159" s="10">
        <f t="shared" si="13"/>
        <v>237314.04624597289</v>
      </c>
      <c r="D159" s="11">
        <f t="shared" si="14"/>
        <v>1328.3242230999456</v>
      </c>
      <c r="E159" s="11">
        <f t="shared" si="15"/>
        <v>537.27740228003586</v>
      </c>
      <c r="F159" s="11">
        <f t="shared" si="16"/>
        <v>791.04682081990973</v>
      </c>
      <c r="G159" s="10">
        <f t="shared" si="17"/>
        <v>236776.76884369284</v>
      </c>
    </row>
    <row r="160" spans="2:7" x14ac:dyDescent="0.3">
      <c r="B160" s="9">
        <f t="shared" si="12"/>
        <v>50557</v>
      </c>
      <c r="C160" s="10">
        <f t="shared" si="13"/>
        <v>236776.76884369284</v>
      </c>
      <c r="D160" s="11">
        <f t="shared" si="14"/>
        <v>1328.3242230999456</v>
      </c>
      <c r="E160" s="11">
        <f t="shared" si="15"/>
        <v>539.06832695430273</v>
      </c>
      <c r="F160" s="11">
        <f t="shared" si="16"/>
        <v>789.25589614564285</v>
      </c>
      <c r="G160" s="10">
        <f t="shared" si="17"/>
        <v>236237.70051673855</v>
      </c>
    </row>
    <row r="161" spans="2:7" x14ac:dyDescent="0.3">
      <c r="B161" s="9">
        <f t="shared" si="12"/>
        <v>50587</v>
      </c>
      <c r="C161" s="10">
        <f t="shared" si="13"/>
        <v>236237.70051673855</v>
      </c>
      <c r="D161" s="11">
        <f t="shared" si="14"/>
        <v>1328.3242230999456</v>
      </c>
      <c r="E161" s="11">
        <f t="shared" si="15"/>
        <v>540.86522137748375</v>
      </c>
      <c r="F161" s="11">
        <f t="shared" si="16"/>
        <v>787.45900172246184</v>
      </c>
      <c r="G161" s="10">
        <f t="shared" si="17"/>
        <v>235696.83529536106</v>
      </c>
    </row>
    <row r="162" spans="2:7" x14ac:dyDescent="0.3">
      <c r="B162" s="9">
        <f t="shared" si="12"/>
        <v>50618</v>
      </c>
      <c r="C162" s="10">
        <f t="shared" si="13"/>
        <v>235696.83529536106</v>
      </c>
      <c r="D162" s="11">
        <f t="shared" si="14"/>
        <v>1328.3242230999456</v>
      </c>
      <c r="E162" s="11">
        <f t="shared" si="15"/>
        <v>542.66810544874204</v>
      </c>
      <c r="F162" s="11">
        <f t="shared" si="16"/>
        <v>785.65611765120354</v>
      </c>
      <c r="G162" s="10">
        <f t="shared" si="17"/>
        <v>235154.16718991232</v>
      </c>
    </row>
    <row r="163" spans="2:7" x14ac:dyDescent="0.3">
      <c r="B163" s="9">
        <f t="shared" si="12"/>
        <v>50649</v>
      </c>
      <c r="C163" s="10">
        <f t="shared" si="13"/>
        <v>235154.16718991232</v>
      </c>
      <c r="D163" s="11">
        <f t="shared" si="14"/>
        <v>1328.3242230999456</v>
      </c>
      <c r="E163" s="11">
        <f t="shared" si="15"/>
        <v>544.4769991335711</v>
      </c>
      <c r="F163" s="11">
        <f t="shared" si="16"/>
        <v>783.84722396637449</v>
      </c>
      <c r="G163" s="10">
        <f t="shared" si="17"/>
        <v>234609.69019077875</v>
      </c>
    </row>
    <row r="164" spans="2:7" x14ac:dyDescent="0.3">
      <c r="B164" s="9">
        <f t="shared" si="12"/>
        <v>50679</v>
      </c>
      <c r="C164" s="10">
        <f t="shared" si="13"/>
        <v>234609.69019077875</v>
      </c>
      <c r="D164" s="11">
        <f t="shared" si="14"/>
        <v>1328.3242230999456</v>
      </c>
      <c r="E164" s="11">
        <f t="shared" si="15"/>
        <v>546.29192246401635</v>
      </c>
      <c r="F164" s="11">
        <f t="shared" si="16"/>
        <v>782.03230063592923</v>
      </c>
      <c r="G164" s="10">
        <f t="shared" si="17"/>
        <v>234063.39826831475</v>
      </c>
    </row>
    <row r="165" spans="2:7" x14ac:dyDescent="0.3">
      <c r="B165" s="9">
        <f t="shared" si="12"/>
        <v>50710</v>
      </c>
      <c r="C165" s="10">
        <f t="shared" si="13"/>
        <v>234063.39826831475</v>
      </c>
      <c r="D165" s="11">
        <f t="shared" si="14"/>
        <v>1328.3242230999456</v>
      </c>
      <c r="E165" s="11">
        <f t="shared" si="15"/>
        <v>548.1128955388964</v>
      </c>
      <c r="F165" s="11">
        <f t="shared" si="16"/>
        <v>780.21132756104919</v>
      </c>
      <c r="G165" s="10">
        <f t="shared" si="17"/>
        <v>233515.28537277586</v>
      </c>
    </row>
    <row r="166" spans="2:7" x14ac:dyDescent="0.3">
      <c r="B166" s="9">
        <f t="shared" si="12"/>
        <v>50740</v>
      </c>
      <c r="C166" s="10">
        <f t="shared" si="13"/>
        <v>233515.28537277586</v>
      </c>
      <c r="D166" s="11">
        <f t="shared" si="14"/>
        <v>1328.3242230999456</v>
      </c>
      <c r="E166" s="11">
        <f t="shared" si="15"/>
        <v>549.93993852402605</v>
      </c>
      <c r="F166" s="11">
        <f t="shared" si="16"/>
        <v>778.38428457591954</v>
      </c>
      <c r="G166" s="10">
        <f t="shared" si="17"/>
        <v>232965.34543425182</v>
      </c>
    </row>
    <row r="167" spans="2:7" x14ac:dyDescent="0.3">
      <c r="B167" s="9">
        <f t="shared" si="12"/>
        <v>50771</v>
      </c>
      <c r="C167" s="10">
        <f t="shared" si="13"/>
        <v>232965.34543425182</v>
      </c>
      <c r="D167" s="11">
        <f t="shared" si="14"/>
        <v>1328.3242230999456</v>
      </c>
      <c r="E167" s="11">
        <f t="shared" si="15"/>
        <v>551.77307165243951</v>
      </c>
      <c r="F167" s="11">
        <f t="shared" si="16"/>
        <v>776.55115144750607</v>
      </c>
      <c r="G167" s="10">
        <f t="shared" si="17"/>
        <v>232413.57236259937</v>
      </c>
    </row>
    <row r="168" spans="2:7" x14ac:dyDescent="0.3">
      <c r="B168" s="9">
        <f t="shared" si="12"/>
        <v>50802</v>
      </c>
      <c r="C168" s="10">
        <f t="shared" si="13"/>
        <v>232413.57236259937</v>
      </c>
      <c r="D168" s="11">
        <f t="shared" si="14"/>
        <v>1328.3242230999456</v>
      </c>
      <c r="E168" s="11">
        <f t="shared" si="15"/>
        <v>553.61231522461435</v>
      </c>
      <c r="F168" s="11">
        <f t="shared" si="16"/>
        <v>774.71190787533124</v>
      </c>
      <c r="G168" s="10">
        <f t="shared" si="17"/>
        <v>231859.96004737477</v>
      </c>
    </row>
    <row r="169" spans="2:7" x14ac:dyDescent="0.3">
      <c r="B169" s="9">
        <f t="shared" si="12"/>
        <v>50830</v>
      </c>
      <c r="C169" s="10">
        <f t="shared" si="13"/>
        <v>231859.96004737477</v>
      </c>
      <c r="D169" s="11">
        <f t="shared" si="14"/>
        <v>1328.3242230999456</v>
      </c>
      <c r="E169" s="11">
        <f t="shared" si="15"/>
        <v>555.45768960869634</v>
      </c>
      <c r="F169" s="11">
        <f t="shared" si="16"/>
        <v>772.86653349124924</v>
      </c>
      <c r="G169" s="10">
        <f t="shared" si="17"/>
        <v>231304.50235776606</v>
      </c>
    </row>
    <row r="170" spans="2:7" x14ac:dyDescent="0.3">
      <c r="B170" s="9">
        <f t="shared" si="12"/>
        <v>50861</v>
      </c>
      <c r="C170" s="10">
        <f t="shared" si="13"/>
        <v>231304.50235776606</v>
      </c>
      <c r="D170" s="11">
        <f t="shared" si="14"/>
        <v>1328.3242230999456</v>
      </c>
      <c r="E170" s="11">
        <f t="shared" si="15"/>
        <v>557.30921524072528</v>
      </c>
      <c r="F170" s="11">
        <f t="shared" si="16"/>
        <v>771.0150078592203</v>
      </c>
      <c r="G170" s="10">
        <f t="shared" si="17"/>
        <v>230747.19314252533</v>
      </c>
    </row>
    <row r="171" spans="2:7" x14ac:dyDescent="0.3">
      <c r="B171" s="9">
        <f t="shared" si="12"/>
        <v>50891</v>
      </c>
      <c r="C171" s="10">
        <f t="shared" si="13"/>
        <v>230747.19314252533</v>
      </c>
      <c r="D171" s="11">
        <f t="shared" si="14"/>
        <v>1328.3242230999456</v>
      </c>
      <c r="E171" s="11">
        <f t="shared" si="15"/>
        <v>559.16691262486108</v>
      </c>
      <c r="F171" s="11">
        <f t="shared" si="16"/>
        <v>769.1573104750845</v>
      </c>
      <c r="G171" s="10">
        <f t="shared" si="17"/>
        <v>230188.02622990045</v>
      </c>
    </row>
    <row r="172" spans="2:7" x14ac:dyDescent="0.3">
      <c r="B172" s="9">
        <f t="shared" si="12"/>
        <v>50922</v>
      </c>
      <c r="C172" s="10">
        <f t="shared" si="13"/>
        <v>230188.02622990045</v>
      </c>
      <c r="D172" s="11">
        <f t="shared" si="14"/>
        <v>1328.3242230999456</v>
      </c>
      <c r="E172" s="11">
        <f t="shared" si="15"/>
        <v>561.03080233361072</v>
      </c>
      <c r="F172" s="11">
        <f t="shared" si="16"/>
        <v>767.29342076633486</v>
      </c>
      <c r="G172" s="10">
        <f t="shared" si="17"/>
        <v>229626.99542756684</v>
      </c>
    </row>
    <row r="173" spans="2:7" x14ac:dyDescent="0.3">
      <c r="B173" s="9">
        <f t="shared" si="12"/>
        <v>50952</v>
      </c>
      <c r="C173" s="10">
        <f t="shared" si="13"/>
        <v>229626.99542756684</v>
      </c>
      <c r="D173" s="11">
        <f t="shared" si="14"/>
        <v>1328.3242230999456</v>
      </c>
      <c r="E173" s="11">
        <f t="shared" si="15"/>
        <v>562.90090500805604</v>
      </c>
      <c r="F173" s="11">
        <f t="shared" si="16"/>
        <v>765.42331809188954</v>
      </c>
      <c r="G173" s="10">
        <f t="shared" si="17"/>
        <v>229064.09452255879</v>
      </c>
    </row>
    <row r="174" spans="2:7" x14ac:dyDescent="0.3">
      <c r="B174" s="9">
        <f t="shared" si="12"/>
        <v>50983</v>
      </c>
      <c r="C174" s="10">
        <f t="shared" si="13"/>
        <v>229064.09452255879</v>
      </c>
      <c r="D174" s="11">
        <f t="shared" si="14"/>
        <v>1328.3242230999456</v>
      </c>
      <c r="E174" s="11">
        <f t="shared" si="15"/>
        <v>564.77724135808285</v>
      </c>
      <c r="F174" s="11">
        <f t="shared" si="16"/>
        <v>763.54698174186274</v>
      </c>
      <c r="G174" s="10">
        <f t="shared" si="17"/>
        <v>228499.3172812007</v>
      </c>
    </row>
    <row r="175" spans="2:7" x14ac:dyDescent="0.3">
      <c r="B175" s="9">
        <f t="shared" si="12"/>
        <v>51014</v>
      </c>
      <c r="C175" s="10">
        <f t="shared" si="13"/>
        <v>228499.3172812007</v>
      </c>
      <c r="D175" s="11">
        <f t="shared" si="14"/>
        <v>1328.3242230999456</v>
      </c>
      <c r="E175" s="11">
        <f t="shared" si="15"/>
        <v>566.65983216260986</v>
      </c>
      <c r="F175" s="11">
        <f t="shared" si="16"/>
        <v>761.66439093733572</v>
      </c>
      <c r="G175" s="10">
        <f t="shared" si="17"/>
        <v>227932.65744903809</v>
      </c>
    </row>
    <row r="176" spans="2:7" x14ac:dyDescent="0.3">
      <c r="B176" s="9">
        <f t="shared" si="12"/>
        <v>51044</v>
      </c>
      <c r="C176" s="10">
        <f t="shared" si="13"/>
        <v>227932.65744903809</v>
      </c>
      <c r="D176" s="11">
        <f t="shared" si="14"/>
        <v>1328.3242230999456</v>
      </c>
      <c r="E176" s="11">
        <f t="shared" si="15"/>
        <v>568.5486982698186</v>
      </c>
      <c r="F176" s="11">
        <f t="shared" si="16"/>
        <v>759.77552483012698</v>
      </c>
      <c r="G176" s="10">
        <f t="shared" si="17"/>
        <v>227364.10875076827</v>
      </c>
    </row>
    <row r="177" spans="2:7" x14ac:dyDescent="0.3">
      <c r="B177" s="9">
        <f t="shared" si="12"/>
        <v>51075</v>
      </c>
      <c r="C177" s="10">
        <f t="shared" si="13"/>
        <v>227364.10875076827</v>
      </c>
      <c r="D177" s="11">
        <f t="shared" si="14"/>
        <v>1328.3242230999456</v>
      </c>
      <c r="E177" s="11">
        <f t="shared" si="15"/>
        <v>570.44386059738463</v>
      </c>
      <c r="F177" s="11">
        <f t="shared" si="16"/>
        <v>757.88036250256096</v>
      </c>
      <c r="G177" s="10">
        <f t="shared" si="17"/>
        <v>226793.66489017088</v>
      </c>
    </row>
    <row r="178" spans="2:7" x14ac:dyDescent="0.3">
      <c r="B178" s="9">
        <f t="shared" si="12"/>
        <v>51105</v>
      </c>
      <c r="C178" s="10">
        <f t="shared" si="13"/>
        <v>226793.66489017088</v>
      </c>
      <c r="D178" s="11">
        <f t="shared" si="14"/>
        <v>1328.3242230999456</v>
      </c>
      <c r="E178" s="11">
        <f t="shared" si="15"/>
        <v>572.34534013270923</v>
      </c>
      <c r="F178" s="11">
        <f t="shared" si="16"/>
        <v>755.97888296723636</v>
      </c>
      <c r="G178" s="10">
        <f t="shared" si="17"/>
        <v>226221.31955003817</v>
      </c>
    </row>
    <row r="179" spans="2:7" x14ac:dyDescent="0.3">
      <c r="B179" s="9">
        <f t="shared" si="12"/>
        <v>51136</v>
      </c>
      <c r="C179" s="10">
        <f t="shared" si="13"/>
        <v>226221.31955003817</v>
      </c>
      <c r="D179" s="11">
        <f t="shared" si="14"/>
        <v>1328.3242230999456</v>
      </c>
      <c r="E179" s="11">
        <f t="shared" si="15"/>
        <v>574.25315793315167</v>
      </c>
      <c r="F179" s="11">
        <f t="shared" si="16"/>
        <v>754.07106516679391</v>
      </c>
      <c r="G179" s="10">
        <f t="shared" si="17"/>
        <v>225647.06639210501</v>
      </c>
    </row>
    <row r="180" spans="2:7" x14ac:dyDescent="0.3">
      <c r="B180" s="9">
        <f t="shared" si="12"/>
        <v>51167</v>
      </c>
      <c r="C180" s="10">
        <f t="shared" si="13"/>
        <v>225647.06639210501</v>
      </c>
      <c r="D180" s="11">
        <f t="shared" si="14"/>
        <v>1328.3242230999456</v>
      </c>
      <c r="E180" s="11">
        <f t="shared" si="15"/>
        <v>576.16733512626217</v>
      </c>
      <c r="F180" s="11">
        <f t="shared" si="16"/>
        <v>752.15688797368341</v>
      </c>
      <c r="G180" s="10">
        <f t="shared" si="17"/>
        <v>225070.89905697876</v>
      </c>
    </row>
    <row r="181" spans="2:7" x14ac:dyDescent="0.3">
      <c r="B181" s="9">
        <f t="shared" si="12"/>
        <v>51196</v>
      </c>
      <c r="C181" s="10">
        <f t="shared" si="13"/>
        <v>225070.89905697876</v>
      </c>
      <c r="D181" s="11">
        <f t="shared" si="14"/>
        <v>1328.3242230999456</v>
      </c>
      <c r="E181" s="11">
        <f t="shared" si="15"/>
        <v>578.08789291001631</v>
      </c>
      <c r="F181" s="11">
        <f t="shared" si="16"/>
        <v>750.23633018992928</v>
      </c>
      <c r="G181" s="10">
        <f t="shared" si="17"/>
        <v>224492.81116406873</v>
      </c>
    </row>
    <row r="182" spans="2:7" x14ac:dyDescent="0.3">
      <c r="B182" s="9">
        <f t="shared" si="12"/>
        <v>51227</v>
      </c>
      <c r="C182" s="10">
        <f t="shared" si="13"/>
        <v>224492.81116406873</v>
      </c>
      <c r="D182" s="11">
        <f t="shared" si="14"/>
        <v>1328.3242230999456</v>
      </c>
      <c r="E182" s="11">
        <f t="shared" si="15"/>
        <v>580.01485255304976</v>
      </c>
      <c r="F182" s="11">
        <f t="shared" si="16"/>
        <v>748.30937054689582</v>
      </c>
      <c r="G182" s="10">
        <f t="shared" si="17"/>
        <v>223912.79631151567</v>
      </c>
    </row>
    <row r="183" spans="2:7" x14ac:dyDescent="0.3">
      <c r="B183" s="9">
        <f t="shared" si="12"/>
        <v>51257</v>
      </c>
      <c r="C183" s="10">
        <f t="shared" si="13"/>
        <v>223912.79631151567</v>
      </c>
      <c r="D183" s="11">
        <f t="shared" si="14"/>
        <v>1328.3242230999456</v>
      </c>
      <c r="E183" s="11">
        <f t="shared" si="15"/>
        <v>581.94823539489323</v>
      </c>
      <c r="F183" s="11">
        <f t="shared" si="16"/>
        <v>746.37598770505235</v>
      </c>
      <c r="G183" s="10">
        <f t="shared" si="17"/>
        <v>223330.84807612078</v>
      </c>
    </row>
    <row r="184" spans="2:7" x14ac:dyDescent="0.3">
      <c r="B184" s="9">
        <f t="shared" si="12"/>
        <v>51288</v>
      </c>
      <c r="C184" s="10">
        <f t="shared" si="13"/>
        <v>223330.84807612078</v>
      </c>
      <c r="D184" s="11">
        <f t="shared" si="14"/>
        <v>1328.3242230999456</v>
      </c>
      <c r="E184" s="11">
        <f t="shared" si="15"/>
        <v>583.88806284620966</v>
      </c>
      <c r="F184" s="11">
        <f t="shared" si="16"/>
        <v>744.43616025373592</v>
      </c>
      <c r="G184" s="10">
        <f t="shared" si="17"/>
        <v>222746.96001327457</v>
      </c>
    </row>
    <row r="185" spans="2:7" x14ac:dyDescent="0.3">
      <c r="B185" s="9">
        <f t="shared" si="12"/>
        <v>51318</v>
      </c>
      <c r="C185" s="10">
        <f t="shared" si="13"/>
        <v>222746.96001327457</v>
      </c>
      <c r="D185" s="11">
        <f t="shared" si="14"/>
        <v>1328.3242230999456</v>
      </c>
      <c r="E185" s="11">
        <f t="shared" si="15"/>
        <v>585.83435638903029</v>
      </c>
      <c r="F185" s="11">
        <f t="shared" si="16"/>
        <v>742.48986671091529</v>
      </c>
      <c r="G185" s="10">
        <f t="shared" si="17"/>
        <v>222161.12565688553</v>
      </c>
    </row>
    <row r="186" spans="2:7" x14ac:dyDescent="0.3">
      <c r="B186" s="9">
        <f t="shared" si="12"/>
        <v>51349</v>
      </c>
      <c r="C186" s="10">
        <f t="shared" si="13"/>
        <v>222161.12565688553</v>
      </c>
      <c r="D186" s="11">
        <f t="shared" si="14"/>
        <v>1328.3242230999456</v>
      </c>
      <c r="E186" s="11">
        <f t="shared" si="15"/>
        <v>587.78713757699381</v>
      </c>
      <c r="F186" s="11">
        <f t="shared" si="16"/>
        <v>740.53708552295177</v>
      </c>
      <c r="G186" s="10">
        <f t="shared" si="17"/>
        <v>221573.33851930854</v>
      </c>
    </row>
    <row r="187" spans="2:7" x14ac:dyDescent="0.3">
      <c r="B187" s="9">
        <f t="shared" si="12"/>
        <v>51380</v>
      </c>
      <c r="C187" s="10">
        <f t="shared" si="13"/>
        <v>221573.33851930854</v>
      </c>
      <c r="D187" s="11">
        <f t="shared" si="14"/>
        <v>1328.3242230999456</v>
      </c>
      <c r="E187" s="11">
        <f t="shared" si="15"/>
        <v>589.74642803558368</v>
      </c>
      <c r="F187" s="11">
        <f t="shared" si="16"/>
        <v>738.57779506436191</v>
      </c>
      <c r="G187" s="10">
        <f t="shared" si="17"/>
        <v>220983.59209127296</v>
      </c>
    </row>
    <row r="188" spans="2:7" x14ac:dyDescent="0.3">
      <c r="B188" s="9">
        <f t="shared" si="12"/>
        <v>51410</v>
      </c>
      <c r="C188" s="10">
        <f t="shared" si="13"/>
        <v>220983.59209127296</v>
      </c>
      <c r="D188" s="11">
        <f t="shared" si="14"/>
        <v>1328.3242230999456</v>
      </c>
      <c r="E188" s="11">
        <f t="shared" si="15"/>
        <v>591.71224946236896</v>
      </c>
      <c r="F188" s="11">
        <f t="shared" si="16"/>
        <v>736.61197363757663</v>
      </c>
      <c r="G188" s="10">
        <f t="shared" si="17"/>
        <v>220391.87984181059</v>
      </c>
    </row>
    <row r="189" spans="2:7" x14ac:dyDescent="0.3">
      <c r="B189" s="9">
        <f t="shared" si="12"/>
        <v>51441</v>
      </c>
      <c r="C189" s="10">
        <f t="shared" si="13"/>
        <v>220391.87984181059</v>
      </c>
      <c r="D189" s="11">
        <f t="shared" si="14"/>
        <v>1328.3242230999456</v>
      </c>
      <c r="E189" s="11">
        <f t="shared" si="15"/>
        <v>593.68462362724358</v>
      </c>
      <c r="F189" s="11">
        <f t="shared" si="16"/>
        <v>734.639599472702</v>
      </c>
      <c r="G189" s="10">
        <f t="shared" si="17"/>
        <v>219798.19521818333</v>
      </c>
    </row>
    <row r="190" spans="2:7" x14ac:dyDescent="0.3">
      <c r="B190" s="9">
        <f t="shared" si="12"/>
        <v>51471</v>
      </c>
      <c r="C190" s="10">
        <f t="shared" si="13"/>
        <v>219798.19521818333</v>
      </c>
      <c r="D190" s="11">
        <f t="shared" si="14"/>
        <v>1328.3242230999456</v>
      </c>
      <c r="E190" s="11">
        <f t="shared" si="15"/>
        <v>595.66357237266777</v>
      </c>
      <c r="F190" s="11">
        <f t="shared" si="16"/>
        <v>732.66065072727781</v>
      </c>
      <c r="G190" s="10">
        <f t="shared" si="17"/>
        <v>219202.53164581067</v>
      </c>
    </row>
    <row r="191" spans="2:7" x14ac:dyDescent="0.3">
      <c r="B191" s="9">
        <f t="shared" si="12"/>
        <v>51502</v>
      </c>
      <c r="C191" s="10">
        <f t="shared" si="13"/>
        <v>219202.53164581067</v>
      </c>
      <c r="D191" s="11">
        <f t="shared" si="14"/>
        <v>1328.3242230999456</v>
      </c>
      <c r="E191" s="11">
        <f t="shared" si="15"/>
        <v>597.64911761390999</v>
      </c>
      <c r="F191" s="11">
        <f t="shared" si="16"/>
        <v>730.67510548603559</v>
      </c>
      <c r="G191" s="10">
        <f t="shared" si="17"/>
        <v>218604.88252819676</v>
      </c>
    </row>
    <row r="192" spans="2:7" x14ac:dyDescent="0.3">
      <c r="B192" s="9">
        <f t="shared" si="12"/>
        <v>51533</v>
      </c>
      <c r="C192" s="10">
        <f t="shared" si="13"/>
        <v>218604.88252819676</v>
      </c>
      <c r="D192" s="11">
        <f t="shared" si="14"/>
        <v>1328.3242230999456</v>
      </c>
      <c r="E192" s="11">
        <f t="shared" si="15"/>
        <v>599.64128133928966</v>
      </c>
      <c r="F192" s="11">
        <f t="shared" si="16"/>
        <v>728.68294176065592</v>
      </c>
      <c r="G192" s="10">
        <f t="shared" si="17"/>
        <v>218005.24124685748</v>
      </c>
    </row>
    <row r="193" spans="2:7" x14ac:dyDescent="0.3">
      <c r="B193" s="9">
        <f t="shared" si="12"/>
        <v>51561</v>
      </c>
      <c r="C193" s="10">
        <f t="shared" si="13"/>
        <v>218005.24124685748</v>
      </c>
      <c r="D193" s="11">
        <f t="shared" si="14"/>
        <v>1328.3242230999456</v>
      </c>
      <c r="E193" s="11">
        <f t="shared" si="15"/>
        <v>601.64008561042067</v>
      </c>
      <c r="F193" s="11">
        <f t="shared" si="16"/>
        <v>726.68413748952491</v>
      </c>
      <c r="G193" s="10">
        <f t="shared" si="17"/>
        <v>217403.60116124706</v>
      </c>
    </row>
    <row r="194" spans="2:7" x14ac:dyDescent="0.3">
      <c r="B194" s="9">
        <f t="shared" si="12"/>
        <v>51592</v>
      </c>
      <c r="C194" s="10">
        <f t="shared" si="13"/>
        <v>217403.60116124706</v>
      </c>
      <c r="D194" s="11">
        <f t="shared" si="14"/>
        <v>1328.3242230999456</v>
      </c>
      <c r="E194" s="11">
        <f t="shared" si="15"/>
        <v>603.64555256245535</v>
      </c>
      <c r="F194" s="11">
        <f t="shared" si="16"/>
        <v>724.67867053749023</v>
      </c>
      <c r="G194" s="10">
        <f t="shared" si="17"/>
        <v>216799.9556086846</v>
      </c>
    </row>
    <row r="195" spans="2:7" x14ac:dyDescent="0.3">
      <c r="B195" s="9">
        <f t="shared" si="12"/>
        <v>51622</v>
      </c>
      <c r="C195" s="10">
        <f t="shared" si="13"/>
        <v>216799.9556086846</v>
      </c>
      <c r="D195" s="11">
        <f t="shared" si="14"/>
        <v>1328.3242230999456</v>
      </c>
      <c r="E195" s="11">
        <f t="shared" si="15"/>
        <v>605.65770440433016</v>
      </c>
      <c r="F195" s="11">
        <f t="shared" si="16"/>
        <v>722.66651869561542</v>
      </c>
      <c r="G195" s="10">
        <f t="shared" si="17"/>
        <v>216194.29790428028</v>
      </c>
    </row>
    <row r="196" spans="2:7" x14ac:dyDescent="0.3">
      <c r="B196" s="9">
        <f t="shared" si="12"/>
        <v>51653</v>
      </c>
      <c r="C196" s="10">
        <f t="shared" si="13"/>
        <v>216194.29790428028</v>
      </c>
      <c r="D196" s="11">
        <f t="shared" si="14"/>
        <v>1328.3242230999456</v>
      </c>
      <c r="E196" s="11">
        <f t="shared" si="15"/>
        <v>607.67656341901125</v>
      </c>
      <c r="F196" s="11">
        <f t="shared" si="16"/>
        <v>720.64765968093434</v>
      </c>
      <c r="G196" s="10">
        <f t="shared" si="17"/>
        <v>215586.62134086125</v>
      </c>
    </row>
    <row r="197" spans="2:7" x14ac:dyDescent="0.3">
      <c r="B197" s="9">
        <f t="shared" si="12"/>
        <v>51683</v>
      </c>
      <c r="C197" s="10">
        <f t="shared" si="13"/>
        <v>215586.62134086125</v>
      </c>
      <c r="D197" s="11">
        <f t="shared" si="14"/>
        <v>1328.3242230999456</v>
      </c>
      <c r="E197" s="11">
        <f t="shared" si="15"/>
        <v>609.70215196374136</v>
      </c>
      <c r="F197" s="11">
        <f t="shared" si="16"/>
        <v>718.62207113620423</v>
      </c>
      <c r="G197" s="10">
        <f t="shared" si="17"/>
        <v>214976.9191888975</v>
      </c>
    </row>
    <row r="198" spans="2:7" x14ac:dyDescent="0.3">
      <c r="B198" s="9">
        <f t="shared" si="12"/>
        <v>51714</v>
      </c>
      <c r="C198" s="10">
        <f t="shared" si="13"/>
        <v>214976.9191888975</v>
      </c>
      <c r="D198" s="11">
        <f t="shared" si="14"/>
        <v>1328.3242230999456</v>
      </c>
      <c r="E198" s="11">
        <f t="shared" si="15"/>
        <v>611.73449247028714</v>
      </c>
      <c r="F198" s="11">
        <f t="shared" si="16"/>
        <v>716.58973062965845</v>
      </c>
      <c r="G198" s="10">
        <f t="shared" si="17"/>
        <v>214365.18469642723</v>
      </c>
    </row>
    <row r="199" spans="2:7" x14ac:dyDescent="0.3">
      <c r="B199" s="9">
        <f t="shared" si="12"/>
        <v>51745</v>
      </c>
      <c r="C199" s="10">
        <f t="shared" si="13"/>
        <v>214365.18469642723</v>
      </c>
      <c r="D199" s="11">
        <f t="shared" si="14"/>
        <v>1328.3242230999456</v>
      </c>
      <c r="E199" s="11">
        <f t="shared" si="15"/>
        <v>613.77360744518808</v>
      </c>
      <c r="F199" s="11">
        <f t="shared" si="16"/>
        <v>714.55061565475751</v>
      </c>
      <c r="G199" s="10">
        <f t="shared" si="17"/>
        <v>213751.41108898204</v>
      </c>
    </row>
    <row r="200" spans="2:7" x14ac:dyDescent="0.3">
      <c r="B200" s="9">
        <f t="shared" si="12"/>
        <v>51775</v>
      </c>
      <c r="C200" s="10">
        <f t="shared" si="13"/>
        <v>213751.41108898204</v>
      </c>
      <c r="D200" s="11">
        <f t="shared" si="14"/>
        <v>1328.3242230999456</v>
      </c>
      <c r="E200" s="11">
        <f t="shared" si="15"/>
        <v>615.81951947000539</v>
      </c>
      <c r="F200" s="11">
        <f t="shared" si="16"/>
        <v>712.5047036299402</v>
      </c>
      <c r="G200" s="10">
        <f t="shared" si="17"/>
        <v>213135.59156951203</v>
      </c>
    </row>
    <row r="201" spans="2:7" x14ac:dyDescent="0.3">
      <c r="B201" s="9">
        <f t="shared" si="12"/>
        <v>51806</v>
      </c>
      <c r="C201" s="10">
        <f t="shared" si="13"/>
        <v>213135.59156951203</v>
      </c>
      <c r="D201" s="11">
        <f t="shared" si="14"/>
        <v>1328.3242230999456</v>
      </c>
      <c r="E201" s="11">
        <f t="shared" si="15"/>
        <v>617.87225120157211</v>
      </c>
      <c r="F201" s="11">
        <f t="shared" si="16"/>
        <v>710.45197189837347</v>
      </c>
      <c r="G201" s="10">
        <f t="shared" si="17"/>
        <v>212517.71931831047</v>
      </c>
    </row>
    <row r="202" spans="2:7" x14ac:dyDescent="0.3">
      <c r="B202" s="9">
        <f t="shared" si="12"/>
        <v>51836</v>
      </c>
      <c r="C202" s="10">
        <f t="shared" si="13"/>
        <v>212517.71931831047</v>
      </c>
      <c r="D202" s="11">
        <f t="shared" si="14"/>
        <v>1328.3242230999456</v>
      </c>
      <c r="E202" s="11">
        <f t="shared" si="15"/>
        <v>619.93182537224402</v>
      </c>
      <c r="F202" s="11">
        <f t="shared" si="16"/>
        <v>708.39239772770156</v>
      </c>
      <c r="G202" s="10">
        <f t="shared" si="17"/>
        <v>211897.78749293822</v>
      </c>
    </row>
    <row r="203" spans="2:7" x14ac:dyDescent="0.3">
      <c r="B203" s="9">
        <f t="shared" si="12"/>
        <v>51867</v>
      </c>
      <c r="C203" s="10">
        <f t="shared" si="13"/>
        <v>211897.78749293822</v>
      </c>
      <c r="D203" s="11">
        <f t="shared" si="14"/>
        <v>1328.3242230999456</v>
      </c>
      <c r="E203" s="11">
        <f t="shared" si="15"/>
        <v>621.99826479015144</v>
      </c>
      <c r="F203" s="11">
        <f t="shared" si="16"/>
        <v>706.32595830979415</v>
      </c>
      <c r="G203" s="10">
        <f t="shared" si="17"/>
        <v>211275.78922814806</v>
      </c>
    </row>
    <row r="204" spans="2:7" x14ac:dyDescent="0.3">
      <c r="B204" s="9">
        <f t="shared" si="12"/>
        <v>51898</v>
      </c>
      <c r="C204" s="10">
        <f t="shared" si="13"/>
        <v>211275.78922814806</v>
      </c>
      <c r="D204" s="11">
        <f t="shared" si="14"/>
        <v>1328.3242230999456</v>
      </c>
      <c r="E204" s="11">
        <f t="shared" si="15"/>
        <v>624.07159233945197</v>
      </c>
      <c r="F204" s="11">
        <f t="shared" si="16"/>
        <v>704.25263076049362</v>
      </c>
      <c r="G204" s="10">
        <f t="shared" si="17"/>
        <v>210651.7176358086</v>
      </c>
    </row>
    <row r="205" spans="2:7" x14ac:dyDescent="0.3">
      <c r="B205" s="9">
        <f t="shared" ref="B205:B268" si="18">EDATE(B204,1)</f>
        <v>51926</v>
      </c>
      <c r="C205" s="10">
        <f t="shared" ref="C205:C268" si="19">G204</f>
        <v>210651.7176358086</v>
      </c>
      <c r="D205" s="11">
        <f t="shared" ref="D205:D268" si="20">IF(G204&lt;=0.1,0,-PMT($C$6,$C$7,$C$3))</f>
        <v>1328.3242230999456</v>
      </c>
      <c r="E205" s="11">
        <f t="shared" ref="E205:E268" si="21">D205-F205</f>
        <v>626.15183098058355</v>
      </c>
      <c r="F205" s="11">
        <f t="shared" ref="F205:F268" si="22">C205*$C$6</f>
        <v>702.17239211936203</v>
      </c>
      <c r="G205" s="10">
        <f t="shared" ref="G205:G268" si="23">C205-E205</f>
        <v>210025.56580482802</v>
      </c>
    </row>
    <row r="206" spans="2:7" x14ac:dyDescent="0.3">
      <c r="B206" s="9">
        <f t="shared" si="18"/>
        <v>51957</v>
      </c>
      <c r="C206" s="10">
        <f t="shared" si="19"/>
        <v>210025.56580482802</v>
      </c>
      <c r="D206" s="11">
        <f t="shared" si="20"/>
        <v>1328.3242230999456</v>
      </c>
      <c r="E206" s="11">
        <f t="shared" si="21"/>
        <v>628.2390037505188</v>
      </c>
      <c r="F206" s="11">
        <f t="shared" si="22"/>
        <v>700.08521934942678</v>
      </c>
      <c r="G206" s="10">
        <f t="shared" si="23"/>
        <v>209397.32680107749</v>
      </c>
    </row>
    <row r="207" spans="2:7" x14ac:dyDescent="0.3">
      <c r="B207" s="9">
        <f t="shared" si="18"/>
        <v>51987</v>
      </c>
      <c r="C207" s="10">
        <f t="shared" si="19"/>
        <v>209397.32680107749</v>
      </c>
      <c r="D207" s="11">
        <f t="shared" si="20"/>
        <v>1328.3242230999456</v>
      </c>
      <c r="E207" s="11">
        <f t="shared" si="21"/>
        <v>630.33313376302056</v>
      </c>
      <c r="F207" s="11">
        <f t="shared" si="22"/>
        <v>697.99108933692503</v>
      </c>
      <c r="G207" s="10">
        <f t="shared" si="23"/>
        <v>208766.99366731447</v>
      </c>
    </row>
    <row r="208" spans="2:7" x14ac:dyDescent="0.3">
      <c r="B208" s="9">
        <f t="shared" si="18"/>
        <v>52018</v>
      </c>
      <c r="C208" s="10">
        <f t="shared" si="19"/>
        <v>208766.99366731447</v>
      </c>
      <c r="D208" s="11">
        <f t="shared" si="20"/>
        <v>1328.3242230999456</v>
      </c>
      <c r="E208" s="11">
        <f t="shared" si="21"/>
        <v>632.43424420889733</v>
      </c>
      <c r="F208" s="11">
        <f t="shared" si="22"/>
        <v>695.88997889104826</v>
      </c>
      <c r="G208" s="10">
        <f t="shared" si="23"/>
        <v>208134.55942310556</v>
      </c>
    </row>
    <row r="209" spans="2:7" x14ac:dyDescent="0.3">
      <c r="B209" s="9">
        <f t="shared" si="18"/>
        <v>52048</v>
      </c>
      <c r="C209" s="10">
        <f t="shared" si="19"/>
        <v>208134.55942310556</v>
      </c>
      <c r="D209" s="11">
        <f t="shared" si="20"/>
        <v>1328.3242230999456</v>
      </c>
      <c r="E209" s="11">
        <f t="shared" si="21"/>
        <v>634.54235835626037</v>
      </c>
      <c r="F209" s="11">
        <f t="shared" si="22"/>
        <v>693.78186474368522</v>
      </c>
      <c r="G209" s="10">
        <f t="shared" si="23"/>
        <v>207500.01706474929</v>
      </c>
    </row>
    <row r="210" spans="2:7" x14ac:dyDescent="0.3">
      <c r="B210" s="9">
        <f t="shared" si="18"/>
        <v>52079</v>
      </c>
      <c r="C210" s="10">
        <f t="shared" si="19"/>
        <v>207500.01706474929</v>
      </c>
      <c r="D210" s="11">
        <f t="shared" si="20"/>
        <v>1328.3242230999456</v>
      </c>
      <c r="E210" s="11">
        <f t="shared" si="21"/>
        <v>636.65749955078127</v>
      </c>
      <c r="F210" s="11">
        <f t="shared" si="22"/>
        <v>691.66672354916432</v>
      </c>
      <c r="G210" s="10">
        <f t="shared" si="23"/>
        <v>206863.35956519851</v>
      </c>
    </row>
    <row r="211" spans="2:7" x14ac:dyDescent="0.3">
      <c r="B211" s="9">
        <f t="shared" si="18"/>
        <v>52110</v>
      </c>
      <c r="C211" s="10">
        <f t="shared" si="19"/>
        <v>206863.35956519851</v>
      </c>
      <c r="D211" s="11">
        <f t="shared" si="20"/>
        <v>1328.3242230999456</v>
      </c>
      <c r="E211" s="11">
        <f t="shared" si="21"/>
        <v>638.77969121595049</v>
      </c>
      <c r="F211" s="11">
        <f t="shared" si="22"/>
        <v>689.54453188399509</v>
      </c>
      <c r="G211" s="10">
        <f t="shared" si="23"/>
        <v>206224.57987398256</v>
      </c>
    </row>
    <row r="212" spans="2:7" x14ac:dyDescent="0.3">
      <c r="B212" s="9">
        <f t="shared" si="18"/>
        <v>52140</v>
      </c>
      <c r="C212" s="10">
        <f t="shared" si="19"/>
        <v>206224.57987398256</v>
      </c>
      <c r="D212" s="11">
        <f t="shared" si="20"/>
        <v>1328.3242230999456</v>
      </c>
      <c r="E212" s="11">
        <f t="shared" si="21"/>
        <v>640.90895685333703</v>
      </c>
      <c r="F212" s="11">
        <f t="shared" si="22"/>
        <v>687.41526624660855</v>
      </c>
      <c r="G212" s="10">
        <f t="shared" si="23"/>
        <v>205583.67091712923</v>
      </c>
    </row>
    <row r="213" spans="2:7" x14ac:dyDescent="0.3">
      <c r="B213" s="9">
        <f t="shared" si="18"/>
        <v>52171</v>
      </c>
      <c r="C213" s="10">
        <f t="shared" si="19"/>
        <v>205583.67091712923</v>
      </c>
      <c r="D213" s="11">
        <f t="shared" si="20"/>
        <v>1328.3242230999456</v>
      </c>
      <c r="E213" s="11">
        <f t="shared" si="21"/>
        <v>643.04532004284806</v>
      </c>
      <c r="F213" s="11">
        <f t="shared" si="22"/>
        <v>685.27890305709752</v>
      </c>
      <c r="G213" s="10">
        <f t="shared" si="23"/>
        <v>204940.62559708639</v>
      </c>
    </row>
    <row r="214" spans="2:7" x14ac:dyDescent="0.3">
      <c r="B214" s="9">
        <f t="shared" si="18"/>
        <v>52201</v>
      </c>
      <c r="C214" s="10">
        <f t="shared" si="19"/>
        <v>204940.62559708639</v>
      </c>
      <c r="D214" s="11">
        <f t="shared" si="20"/>
        <v>1328.3242230999456</v>
      </c>
      <c r="E214" s="11">
        <f t="shared" si="21"/>
        <v>645.18880444299089</v>
      </c>
      <c r="F214" s="11">
        <f t="shared" si="22"/>
        <v>683.1354186569547</v>
      </c>
      <c r="G214" s="10">
        <f t="shared" si="23"/>
        <v>204295.43679264339</v>
      </c>
    </row>
    <row r="215" spans="2:7" x14ac:dyDescent="0.3">
      <c r="B215" s="9">
        <f t="shared" si="18"/>
        <v>52232</v>
      </c>
      <c r="C215" s="10">
        <f t="shared" si="19"/>
        <v>204295.43679264339</v>
      </c>
      <c r="D215" s="11">
        <f t="shared" si="20"/>
        <v>1328.3242230999456</v>
      </c>
      <c r="E215" s="11">
        <f t="shared" si="21"/>
        <v>647.33943379113418</v>
      </c>
      <c r="F215" s="11">
        <f t="shared" si="22"/>
        <v>680.9847893088114</v>
      </c>
      <c r="G215" s="10">
        <f t="shared" si="23"/>
        <v>203648.09735885225</v>
      </c>
    </row>
    <row r="216" spans="2:7" x14ac:dyDescent="0.3">
      <c r="B216" s="9">
        <f t="shared" si="18"/>
        <v>52263</v>
      </c>
      <c r="C216" s="10">
        <f t="shared" si="19"/>
        <v>203648.09735885225</v>
      </c>
      <c r="D216" s="11">
        <f t="shared" si="20"/>
        <v>1328.3242230999456</v>
      </c>
      <c r="E216" s="11">
        <f t="shared" si="21"/>
        <v>649.49723190377142</v>
      </c>
      <c r="F216" s="11">
        <f t="shared" si="22"/>
        <v>678.82699119617416</v>
      </c>
      <c r="G216" s="10">
        <f t="shared" si="23"/>
        <v>202998.60012694847</v>
      </c>
    </row>
    <row r="217" spans="2:7" x14ac:dyDescent="0.3">
      <c r="B217" s="9">
        <f t="shared" si="18"/>
        <v>52291</v>
      </c>
      <c r="C217" s="10">
        <f t="shared" si="19"/>
        <v>202998.60012694847</v>
      </c>
      <c r="D217" s="11">
        <f t="shared" si="20"/>
        <v>1328.3242230999456</v>
      </c>
      <c r="E217" s="11">
        <f t="shared" si="21"/>
        <v>651.66222267678393</v>
      </c>
      <c r="F217" s="11">
        <f t="shared" si="22"/>
        <v>676.66200042316166</v>
      </c>
      <c r="G217" s="10">
        <f t="shared" si="23"/>
        <v>202346.93790427168</v>
      </c>
    </row>
    <row r="218" spans="2:7" x14ac:dyDescent="0.3">
      <c r="B218" s="9">
        <f t="shared" si="18"/>
        <v>52322</v>
      </c>
      <c r="C218" s="10">
        <f t="shared" si="19"/>
        <v>202346.93790427168</v>
      </c>
      <c r="D218" s="11">
        <f t="shared" si="20"/>
        <v>1328.3242230999456</v>
      </c>
      <c r="E218" s="11">
        <f t="shared" si="21"/>
        <v>653.83443008570657</v>
      </c>
      <c r="F218" s="11">
        <f t="shared" si="22"/>
        <v>674.48979301423901</v>
      </c>
      <c r="G218" s="10">
        <f t="shared" si="23"/>
        <v>201693.10347418598</v>
      </c>
    </row>
    <row r="219" spans="2:7" x14ac:dyDescent="0.3">
      <c r="B219" s="9">
        <f t="shared" si="18"/>
        <v>52352</v>
      </c>
      <c r="C219" s="10">
        <f t="shared" si="19"/>
        <v>201693.10347418598</v>
      </c>
      <c r="D219" s="11">
        <f t="shared" si="20"/>
        <v>1328.3242230999456</v>
      </c>
      <c r="E219" s="11">
        <f t="shared" si="21"/>
        <v>656.01387818599233</v>
      </c>
      <c r="F219" s="11">
        <f t="shared" si="22"/>
        <v>672.31034491395326</v>
      </c>
      <c r="G219" s="10">
        <f t="shared" si="23"/>
        <v>201037.08959599998</v>
      </c>
    </row>
    <row r="220" spans="2:7" x14ac:dyDescent="0.3">
      <c r="B220" s="9">
        <f t="shared" si="18"/>
        <v>52383</v>
      </c>
      <c r="C220" s="10">
        <f t="shared" si="19"/>
        <v>201037.08959599998</v>
      </c>
      <c r="D220" s="11">
        <f t="shared" si="20"/>
        <v>1328.3242230999456</v>
      </c>
      <c r="E220" s="11">
        <f t="shared" si="21"/>
        <v>658.20059111327896</v>
      </c>
      <c r="F220" s="11">
        <f t="shared" si="22"/>
        <v>670.12363198666662</v>
      </c>
      <c r="G220" s="10">
        <f t="shared" si="23"/>
        <v>200378.8890048867</v>
      </c>
    </row>
    <row r="221" spans="2:7" x14ac:dyDescent="0.3">
      <c r="B221" s="9">
        <f t="shared" si="18"/>
        <v>52413</v>
      </c>
      <c r="C221" s="10">
        <f t="shared" si="19"/>
        <v>200378.8890048867</v>
      </c>
      <c r="D221" s="11">
        <f t="shared" si="20"/>
        <v>1328.3242230999456</v>
      </c>
      <c r="E221" s="11">
        <f t="shared" si="21"/>
        <v>660.39459308365656</v>
      </c>
      <c r="F221" s="11">
        <f t="shared" si="22"/>
        <v>667.92963001628902</v>
      </c>
      <c r="G221" s="10">
        <f t="shared" si="23"/>
        <v>199718.49441180305</v>
      </c>
    </row>
    <row r="222" spans="2:7" x14ac:dyDescent="0.3">
      <c r="B222" s="9">
        <f t="shared" si="18"/>
        <v>52444</v>
      </c>
      <c r="C222" s="10">
        <f t="shared" si="19"/>
        <v>199718.49441180305</v>
      </c>
      <c r="D222" s="11">
        <f t="shared" si="20"/>
        <v>1328.3242230999456</v>
      </c>
      <c r="E222" s="11">
        <f t="shared" si="21"/>
        <v>662.59590839393536</v>
      </c>
      <c r="F222" s="11">
        <f t="shared" si="22"/>
        <v>665.72831470601022</v>
      </c>
      <c r="G222" s="10">
        <f t="shared" si="23"/>
        <v>199055.89850340912</v>
      </c>
    </row>
    <row r="223" spans="2:7" x14ac:dyDescent="0.3">
      <c r="B223" s="9">
        <f t="shared" si="18"/>
        <v>52475</v>
      </c>
      <c r="C223" s="10">
        <f t="shared" si="19"/>
        <v>199055.89850340912</v>
      </c>
      <c r="D223" s="11">
        <f t="shared" si="20"/>
        <v>1328.3242230999456</v>
      </c>
      <c r="E223" s="11">
        <f t="shared" si="21"/>
        <v>664.8045614219152</v>
      </c>
      <c r="F223" s="11">
        <f t="shared" si="22"/>
        <v>663.51966167803039</v>
      </c>
      <c r="G223" s="10">
        <f t="shared" si="23"/>
        <v>198391.0939419872</v>
      </c>
    </row>
    <row r="224" spans="2:7" x14ac:dyDescent="0.3">
      <c r="B224" s="9">
        <f t="shared" si="18"/>
        <v>52505</v>
      </c>
      <c r="C224" s="10">
        <f t="shared" si="19"/>
        <v>198391.0939419872</v>
      </c>
      <c r="D224" s="11">
        <f t="shared" si="20"/>
        <v>1328.3242230999456</v>
      </c>
      <c r="E224" s="11">
        <f t="shared" si="21"/>
        <v>667.02057662665482</v>
      </c>
      <c r="F224" s="11">
        <f t="shared" si="22"/>
        <v>661.30364647329077</v>
      </c>
      <c r="G224" s="10">
        <f t="shared" si="23"/>
        <v>197724.07336536056</v>
      </c>
    </row>
    <row r="225" spans="2:7" x14ac:dyDescent="0.3">
      <c r="B225" s="9">
        <f t="shared" si="18"/>
        <v>52536</v>
      </c>
      <c r="C225" s="10">
        <f t="shared" si="19"/>
        <v>197724.07336536056</v>
      </c>
      <c r="D225" s="11">
        <f t="shared" si="20"/>
        <v>1328.3242230999456</v>
      </c>
      <c r="E225" s="11">
        <f t="shared" si="21"/>
        <v>669.24397854874371</v>
      </c>
      <c r="F225" s="11">
        <f t="shared" si="22"/>
        <v>659.08024455120187</v>
      </c>
      <c r="G225" s="10">
        <f t="shared" si="23"/>
        <v>197054.82938681182</v>
      </c>
    </row>
    <row r="226" spans="2:7" x14ac:dyDescent="0.3">
      <c r="B226" s="9">
        <f t="shared" si="18"/>
        <v>52566</v>
      </c>
      <c r="C226" s="10">
        <f t="shared" si="19"/>
        <v>197054.82938681182</v>
      </c>
      <c r="D226" s="11">
        <f t="shared" si="20"/>
        <v>1328.3242230999456</v>
      </c>
      <c r="E226" s="11">
        <f t="shared" si="21"/>
        <v>671.47479181057281</v>
      </c>
      <c r="F226" s="11">
        <f t="shared" si="22"/>
        <v>656.84943128937277</v>
      </c>
      <c r="G226" s="10">
        <f t="shared" si="23"/>
        <v>196383.35459500123</v>
      </c>
    </row>
    <row r="227" spans="2:7" x14ac:dyDescent="0.3">
      <c r="B227" s="9">
        <f t="shared" si="18"/>
        <v>52597</v>
      </c>
      <c r="C227" s="10">
        <f t="shared" si="19"/>
        <v>196383.35459500123</v>
      </c>
      <c r="D227" s="11">
        <f t="shared" si="20"/>
        <v>1328.3242230999456</v>
      </c>
      <c r="E227" s="11">
        <f t="shared" si="21"/>
        <v>673.71304111660811</v>
      </c>
      <c r="F227" s="11">
        <f t="shared" si="22"/>
        <v>654.61118198333747</v>
      </c>
      <c r="G227" s="10">
        <f t="shared" si="23"/>
        <v>195709.64155388463</v>
      </c>
    </row>
    <row r="228" spans="2:7" x14ac:dyDescent="0.3">
      <c r="B228" s="9">
        <f t="shared" si="18"/>
        <v>52628</v>
      </c>
      <c r="C228" s="10">
        <f t="shared" si="19"/>
        <v>195709.64155388463</v>
      </c>
      <c r="D228" s="11">
        <f t="shared" si="20"/>
        <v>1328.3242230999456</v>
      </c>
      <c r="E228" s="11">
        <f t="shared" si="21"/>
        <v>675.95875125366342</v>
      </c>
      <c r="F228" s="11">
        <f t="shared" si="22"/>
        <v>652.36547184628216</v>
      </c>
      <c r="G228" s="10">
        <f t="shared" si="23"/>
        <v>195033.68280263097</v>
      </c>
    </row>
    <row r="229" spans="2:7" x14ac:dyDescent="0.3">
      <c r="B229" s="9">
        <f t="shared" si="18"/>
        <v>52657</v>
      </c>
      <c r="C229" s="10">
        <f t="shared" si="19"/>
        <v>195033.68280263097</v>
      </c>
      <c r="D229" s="11">
        <f t="shared" si="20"/>
        <v>1328.3242230999456</v>
      </c>
      <c r="E229" s="11">
        <f t="shared" si="21"/>
        <v>678.2119470911756</v>
      </c>
      <c r="F229" s="11">
        <f t="shared" si="22"/>
        <v>650.11227600876998</v>
      </c>
      <c r="G229" s="10">
        <f t="shared" si="23"/>
        <v>194355.47085553978</v>
      </c>
    </row>
    <row r="230" spans="2:7" x14ac:dyDescent="0.3">
      <c r="B230" s="9">
        <f t="shared" si="18"/>
        <v>52688</v>
      </c>
      <c r="C230" s="10">
        <f t="shared" si="19"/>
        <v>194355.47085553978</v>
      </c>
      <c r="D230" s="11">
        <f t="shared" si="20"/>
        <v>1328.3242230999456</v>
      </c>
      <c r="E230" s="11">
        <f t="shared" si="21"/>
        <v>680.47265358147956</v>
      </c>
      <c r="F230" s="11">
        <f t="shared" si="22"/>
        <v>647.85156951846602</v>
      </c>
      <c r="G230" s="10">
        <f t="shared" si="23"/>
        <v>193674.99820195831</v>
      </c>
    </row>
    <row r="231" spans="2:7" x14ac:dyDescent="0.3">
      <c r="B231" s="9">
        <f t="shared" si="18"/>
        <v>52718</v>
      </c>
      <c r="C231" s="10">
        <f t="shared" si="19"/>
        <v>193674.99820195831</v>
      </c>
      <c r="D231" s="11">
        <f t="shared" si="20"/>
        <v>1328.3242230999456</v>
      </c>
      <c r="E231" s="11">
        <f t="shared" si="21"/>
        <v>682.74089576008453</v>
      </c>
      <c r="F231" s="11">
        <f t="shared" si="22"/>
        <v>645.58332733986106</v>
      </c>
      <c r="G231" s="10">
        <f t="shared" si="23"/>
        <v>192992.25730619824</v>
      </c>
    </row>
    <row r="232" spans="2:7" x14ac:dyDescent="0.3">
      <c r="B232" s="9">
        <f t="shared" si="18"/>
        <v>52749</v>
      </c>
      <c r="C232" s="10">
        <f t="shared" si="19"/>
        <v>192992.25730619824</v>
      </c>
      <c r="D232" s="11">
        <f t="shared" si="20"/>
        <v>1328.3242230999456</v>
      </c>
      <c r="E232" s="11">
        <f t="shared" si="21"/>
        <v>685.01669874595143</v>
      </c>
      <c r="F232" s="11">
        <f t="shared" si="22"/>
        <v>643.30752435399415</v>
      </c>
      <c r="G232" s="10">
        <f t="shared" si="23"/>
        <v>192307.24060745229</v>
      </c>
    </row>
    <row r="233" spans="2:7" x14ac:dyDescent="0.3">
      <c r="B233" s="9">
        <f t="shared" si="18"/>
        <v>52779</v>
      </c>
      <c r="C233" s="10">
        <f t="shared" si="19"/>
        <v>192307.24060745229</v>
      </c>
      <c r="D233" s="11">
        <f t="shared" si="20"/>
        <v>1328.3242230999456</v>
      </c>
      <c r="E233" s="11">
        <f t="shared" si="21"/>
        <v>687.30008774177122</v>
      </c>
      <c r="F233" s="11">
        <f t="shared" si="22"/>
        <v>641.02413535817436</v>
      </c>
      <c r="G233" s="10">
        <f t="shared" si="23"/>
        <v>191619.94051971051</v>
      </c>
    </row>
    <row r="234" spans="2:7" x14ac:dyDescent="0.3">
      <c r="B234" s="9">
        <f t="shared" si="18"/>
        <v>52810</v>
      </c>
      <c r="C234" s="10">
        <f t="shared" si="19"/>
        <v>191619.94051971051</v>
      </c>
      <c r="D234" s="11">
        <f t="shared" si="20"/>
        <v>1328.3242230999456</v>
      </c>
      <c r="E234" s="11">
        <f t="shared" si="21"/>
        <v>689.59108803424385</v>
      </c>
      <c r="F234" s="11">
        <f t="shared" si="22"/>
        <v>638.73313506570173</v>
      </c>
      <c r="G234" s="10">
        <f t="shared" si="23"/>
        <v>190930.34943167627</v>
      </c>
    </row>
    <row r="235" spans="2:7" x14ac:dyDescent="0.3">
      <c r="B235" s="9">
        <f t="shared" si="18"/>
        <v>52841</v>
      </c>
      <c r="C235" s="10">
        <f t="shared" si="19"/>
        <v>190930.34943167627</v>
      </c>
      <c r="D235" s="11">
        <f t="shared" si="20"/>
        <v>1328.3242230999456</v>
      </c>
      <c r="E235" s="11">
        <f t="shared" si="21"/>
        <v>691.88972499435795</v>
      </c>
      <c r="F235" s="11">
        <f t="shared" si="22"/>
        <v>636.43449810558764</v>
      </c>
      <c r="G235" s="10">
        <f t="shared" si="23"/>
        <v>190238.4597066819</v>
      </c>
    </row>
    <row r="236" spans="2:7" x14ac:dyDescent="0.3">
      <c r="B236" s="9">
        <f t="shared" si="18"/>
        <v>52871</v>
      </c>
      <c r="C236" s="10">
        <f t="shared" si="19"/>
        <v>190238.4597066819</v>
      </c>
      <c r="D236" s="11">
        <f t="shared" si="20"/>
        <v>1328.3242230999456</v>
      </c>
      <c r="E236" s="11">
        <f t="shared" si="21"/>
        <v>694.19602407767252</v>
      </c>
      <c r="F236" s="11">
        <f t="shared" si="22"/>
        <v>634.12819902227307</v>
      </c>
      <c r="G236" s="10">
        <f t="shared" si="23"/>
        <v>189544.26368260421</v>
      </c>
    </row>
    <row r="237" spans="2:7" x14ac:dyDescent="0.3">
      <c r="B237" s="9">
        <f t="shared" si="18"/>
        <v>52902</v>
      </c>
      <c r="C237" s="10">
        <f t="shared" si="19"/>
        <v>189544.26368260421</v>
      </c>
      <c r="D237" s="11">
        <f t="shared" si="20"/>
        <v>1328.3242230999456</v>
      </c>
      <c r="E237" s="11">
        <f t="shared" si="21"/>
        <v>696.51001082459811</v>
      </c>
      <c r="F237" s="11">
        <f t="shared" si="22"/>
        <v>631.81421227534747</v>
      </c>
      <c r="G237" s="10">
        <f t="shared" si="23"/>
        <v>188847.75367177962</v>
      </c>
    </row>
    <row r="238" spans="2:7" x14ac:dyDescent="0.3">
      <c r="B238" s="9">
        <f t="shared" si="18"/>
        <v>52932</v>
      </c>
      <c r="C238" s="10">
        <f t="shared" si="19"/>
        <v>188847.75367177962</v>
      </c>
      <c r="D238" s="11">
        <f t="shared" si="20"/>
        <v>1328.3242230999456</v>
      </c>
      <c r="E238" s="11">
        <f t="shared" si="21"/>
        <v>698.83171086068012</v>
      </c>
      <c r="F238" s="11">
        <f t="shared" si="22"/>
        <v>629.49251223926547</v>
      </c>
      <c r="G238" s="10">
        <f t="shared" si="23"/>
        <v>188148.92196091893</v>
      </c>
    </row>
    <row r="239" spans="2:7" x14ac:dyDescent="0.3">
      <c r="B239" s="9">
        <f t="shared" si="18"/>
        <v>52963</v>
      </c>
      <c r="C239" s="10">
        <f t="shared" si="19"/>
        <v>188148.92196091893</v>
      </c>
      <c r="D239" s="11">
        <f t="shared" si="20"/>
        <v>1328.3242230999456</v>
      </c>
      <c r="E239" s="11">
        <f t="shared" si="21"/>
        <v>701.16114989688242</v>
      </c>
      <c r="F239" s="11">
        <f t="shared" si="22"/>
        <v>627.16307320306316</v>
      </c>
      <c r="G239" s="10">
        <f t="shared" si="23"/>
        <v>187447.76081102205</v>
      </c>
    </row>
    <row r="240" spans="2:7" x14ac:dyDescent="0.3">
      <c r="B240" s="9">
        <f t="shared" si="18"/>
        <v>52994</v>
      </c>
      <c r="C240" s="10">
        <f t="shared" si="19"/>
        <v>187447.76081102205</v>
      </c>
      <c r="D240" s="11">
        <f t="shared" si="20"/>
        <v>1328.3242230999456</v>
      </c>
      <c r="E240" s="11">
        <f t="shared" si="21"/>
        <v>703.49835372987206</v>
      </c>
      <c r="F240" s="11">
        <f t="shared" si="22"/>
        <v>624.82586937007352</v>
      </c>
      <c r="G240" s="10">
        <f t="shared" si="23"/>
        <v>186744.26245729218</v>
      </c>
    </row>
    <row r="241" spans="2:7" x14ac:dyDescent="0.3">
      <c r="B241" s="9">
        <f t="shared" si="18"/>
        <v>53022</v>
      </c>
      <c r="C241" s="10">
        <f t="shared" si="19"/>
        <v>186744.26245729218</v>
      </c>
      <c r="D241" s="11">
        <f t="shared" si="20"/>
        <v>1328.3242230999456</v>
      </c>
      <c r="E241" s="11">
        <f t="shared" si="21"/>
        <v>705.84334824230496</v>
      </c>
      <c r="F241" s="11">
        <f t="shared" si="22"/>
        <v>622.48087485764063</v>
      </c>
      <c r="G241" s="10">
        <f t="shared" si="23"/>
        <v>186038.41910904986</v>
      </c>
    </row>
    <row r="242" spans="2:7" x14ac:dyDescent="0.3">
      <c r="B242" s="9">
        <f t="shared" si="18"/>
        <v>53053</v>
      </c>
      <c r="C242" s="10">
        <f t="shared" si="19"/>
        <v>186038.41910904986</v>
      </c>
      <c r="D242" s="11">
        <f t="shared" si="20"/>
        <v>1328.3242230999456</v>
      </c>
      <c r="E242" s="11">
        <f t="shared" si="21"/>
        <v>708.19615940311269</v>
      </c>
      <c r="F242" s="11">
        <f t="shared" si="22"/>
        <v>620.1280636968329</v>
      </c>
      <c r="G242" s="10">
        <f t="shared" si="23"/>
        <v>185330.22294964676</v>
      </c>
    </row>
    <row r="243" spans="2:7" x14ac:dyDescent="0.3">
      <c r="B243" s="9">
        <f t="shared" si="18"/>
        <v>53083</v>
      </c>
      <c r="C243" s="10">
        <f t="shared" si="19"/>
        <v>185330.22294964676</v>
      </c>
      <c r="D243" s="11">
        <f t="shared" si="20"/>
        <v>1328.3242230999456</v>
      </c>
      <c r="E243" s="11">
        <f t="shared" si="21"/>
        <v>710.55681326778972</v>
      </c>
      <c r="F243" s="11">
        <f t="shared" si="22"/>
        <v>617.76740983215586</v>
      </c>
      <c r="G243" s="10">
        <f t="shared" si="23"/>
        <v>184619.66613637898</v>
      </c>
    </row>
    <row r="244" spans="2:7" x14ac:dyDescent="0.3">
      <c r="B244" s="9">
        <f t="shared" si="18"/>
        <v>53114</v>
      </c>
      <c r="C244" s="10">
        <f t="shared" si="19"/>
        <v>184619.66613637898</v>
      </c>
      <c r="D244" s="11">
        <f t="shared" si="20"/>
        <v>1328.3242230999456</v>
      </c>
      <c r="E244" s="11">
        <f t="shared" si="21"/>
        <v>712.92533597868226</v>
      </c>
      <c r="F244" s="11">
        <f t="shared" si="22"/>
        <v>615.39888712126333</v>
      </c>
      <c r="G244" s="10">
        <f t="shared" si="23"/>
        <v>183906.74080040029</v>
      </c>
    </row>
    <row r="245" spans="2:7" x14ac:dyDescent="0.3">
      <c r="B245" s="9">
        <f t="shared" si="18"/>
        <v>53144</v>
      </c>
      <c r="C245" s="10">
        <f t="shared" si="19"/>
        <v>183906.74080040029</v>
      </c>
      <c r="D245" s="11">
        <f t="shared" si="20"/>
        <v>1328.3242230999456</v>
      </c>
      <c r="E245" s="11">
        <f t="shared" si="21"/>
        <v>715.30175376527791</v>
      </c>
      <c r="F245" s="11">
        <f t="shared" si="22"/>
        <v>613.02246933466768</v>
      </c>
      <c r="G245" s="10">
        <f t="shared" si="23"/>
        <v>183191.439046635</v>
      </c>
    </row>
    <row r="246" spans="2:7" x14ac:dyDescent="0.3">
      <c r="B246" s="9">
        <f t="shared" si="18"/>
        <v>53175</v>
      </c>
      <c r="C246" s="10">
        <f t="shared" si="19"/>
        <v>183191.439046635</v>
      </c>
      <c r="D246" s="11">
        <f t="shared" si="20"/>
        <v>1328.3242230999456</v>
      </c>
      <c r="E246" s="11">
        <f t="shared" si="21"/>
        <v>717.6860929444955</v>
      </c>
      <c r="F246" s="11">
        <f t="shared" si="22"/>
        <v>610.63813015545009</v>
      </c>
      <c r="G246" s="10">
        <f t="shared" si="23"/>
        <v>182473.75295369051</v>
      </c>
    </row>
    <row r="247" spans="2:7" x14ac:dyDescent="0.3">
      <c r="B247" s="9">
        <f t="shared" si="18"/>
        <v>53206</v>
      </c>
      <c r="C247" s="10">
        <f t="shared" si="19"/>
        <v>182473.75295369051</v>
      </c>
      <c r="D247" s="11">
        <f t="shared" si="20"/>
        <v>1328.3242230999456</v>
      </c>
      <c r="E247" s="11">
        <f t="shared" si="21"/>
        <v>720.07837992097723</v>
      </c>
      <c r="F247" s="11">
        <f t="shared" si="22"/>
        <v>608.24584317896836</v>
      </c>
      <c r="G247" s="10">
        <f t="shared" si="23"/>
        <v>181753.67457376953</v>
      </c>
    </row>
    <row r="248" spans="2:7" x14ac:dyDescent="0.3">
      <c r="B248" s="9">
        <f t="shared" si="18"/>
        <v>53236</v>
      </c>
      <c r="C248" s="10">
        <f t="shared" si="19"/>
        <v>181753.67457376953</v>
      </c>
      <c r="D248" s="11">
        <f t="shared" si="20"/>
        <v>1328.3242230999456</v>
      </c>
      <c r="E248" s="11">
        <f t="shared" si="21"/>
        <v>722.47864118738039</v>
      </c>
      <c r="F248" s="11">
        <f t="shared" si="22"/>
        <v>605.84558191256519</v>
      </c>
      <c r="G248" s="10">
        <f t="shared" si="23"/>
        <v>181031.19593258214</v>
      </c>
    </row>
    <row r="249" spans="2:7" x14ac:dyDescent="0.3">
      <c r="B249" s="9">
        <f t="shared" si="18"/>
        <v>53267</v>
      </c>
      <c r="C249" s="10">
        <f t="shared" si="19"/>
        <v>181031.19593258214</v>
      </c>
      <c r="D249" s="11">
        <f t="shared" si="20"/>
        <v>1328.3242230999456</v>
      </c>
      <c r="E249" s="11">
        <f t="shared" si="21"/>
        <v>724.88690332467172</v>
      </c>
      <c r="F249" s="11">
        <f t="shared" si="22"/>
        <v>603.43731977527386</v>
      </c>
      <c r="G249" s="10">
        <f t="shared" si="23"/>
        <v>180306.30902925748</v>
      </c>
    </row>
    <row r="250" spans="2:7" x14ac:dyDescent="0.3">
      <c r="B250" s="9">
        <f t="shared" si="18"/>
        <v>53297</v>
      </c>
      <c r="C250" s="10">
        <f t="shared" si="19"/>
        <v>180306.30902925748</v>
      </c>
      <c r="D250" s="11">
        <f t="shared" si="20"/>
        <v>1328.3242230999456</v>
      </c>
      <c r="E250" s="11">
        <f t="shared" si="21"/>
        <v>727.30319300242058</v>
      </c>
      <c r="F250" s="11">
        <f t="shared" si="22"/>
        <v>601.021030097525</v>
      </c>
      <c r="G250" s="10">
        <f t="shared" si="23"/>
        <v>179579.00583625506</v>
      </c>
    </row>
    <row r="251" spans="2:7" x14ac:dyDescent="0.3">
      <c r="B251" s="9">
        <f t="shared" si="18"/>
        <v>53328</v>
      </c>
      <c r="C251" s="10">
        <f t="shared" si="19"/>
        <v>179579.00583625506</v>
      </c>
      <c r="D251" s="11">
        <f t="shared" si="20"/>
        <v>1328.3242230999456</v>
      </c>
      <c r="E251" s="11">
        <f t="shared" si="21"/>
        <v>729.72753697909536</v>
      </c>
      <c r="F251" s="11">
        <f t="shared" si="22"/>
        <v>598.59668612085022</v>
      </c>
      <c r="G251" s="10">
        <f t="shared" si="23"/>
        <v>178849.27829927596</v>
      </c>
    </row>
    <row r="252" spans="2:7" x14ac:dyDescent="0.3">
      <c r="B252" s="9">
        <f t="shared" si="18"/>
        <v>53359</v>
      </c>
      <c r="C252" s="10">
        <f t="shared" si="19"/>
        <v>178849.27829927596</v>
      </c>
      <c r="D252" s="11">
        <f t="shared" si="20"/>
        <v>1328.3242230999456</v>
      </c>
      <c r="E252" s="11">
        <f t="shared" si="21"/>
        <v>732.15996210235903</v>
      </c>
      <c r="F252" s="11">
        <f t="shared" si="22"/>
        <v>596.16426099758655</v>
      </c>
      <c r="G252" s="10">
        <f t="shared" si="23"/>
        <v>178117.1183371736</v>
      </c>
    </row>
    <row r="253" spans="2:7" x14ac:dyDescent="0.3">
      <c r="B253" s="9">
        <f t="shared" si="18"/>
        <v>53387</v>
      </c>
      <c r="C253" s="10">
        <f t="shared" si="19"/>
        <v>178117.1183371736</v>
      </c>
      <c r="D253" s="11">
        <f t="shared" si="20"/>
        <v>1328.3242230999456</v>
      </c>
      <c r="E253" s="11">
        <f t="shared" si="21"/>
        <v>734.60049530936692</v>
      </c>
      <c r="F253" s="11">
        <f t="shared" si="22"/>
        <v>593.72372779057866</v>
      </c>
      <c r="G253" s="10">
        <f t="shared" si="23"/>
        <v>177382.51784186423</v>
      </c>
    </row>
    <row r="254" spans="2:7" x14ac:dyDescent="0.3">
      <c r="B254" s="9">
        <f t="shared" si="18"/>
        <v>53418</v>
      </c>
      <c r="C254" s="10">
        <f t="shared" si="19"/>
        <v>177382.51784186423</v>
      </c>
      <c r="D254" s="11">
        <f t="shared" si="20"/>
        <v>1328.3242230999456</v>
      </c>
      <c r="E254" s="11">
        <f t="shared" si="21"/>
        <v>737.04916362706479</v>
      </c>
      <c r="F254" s="11">
        <f t="shared" si="22"/>
        <v>591.2750594728808</v>
      </c>
      <c r="G254" s="10">
        <f t="shared" si="23"/>
        <v>176645.46867823717</v>
      </c>
    </row>
    <row r="255" spans="2:7" x14ac:dyDescent="0.3">
      <c r="B255" s="9">
        <f t="shared" si="18"/>
        <v>53448</v>
      </c>
      <c r="C255" s="10">
        <f t="shared" si="19"/>
        <v>176645.46867823717</v>
      </c>
      <c r="D255" s="11">
        <f t="shared" si="20"/>
        <v>1328.3242230999456</v>
      </c>
      <c r="E255" s="11">
        <f t="shared" si="21"/>
        <v>739.50599417248827</v>
      </c>
      <c r="F255" s="11">
        <f t="shared" si="22"/>
        <v>588.81822892745731</v>
      </c>
      <c r="G255" s="10">
        <f t="shared" si="23"/>
        <v>175905.9626840647</v>
      </c>
    </row>
    <row r="256" spans="2:7" x14ac:dyDescent="0.3">
      <c r="B256" s="9">
        <f t="shared" si="18"/>
        <v>53479</v>
      </c>
      <c r="C256" s="10">
        <f t="shared" si="19"/>
        <v>175905.9626840647</v>
      </c>
      <c r="D256" s="11">
        <f t="shared" si="20"/>
        <v>1328.3242230999456</v>
      </c>
      <c r="E256" s="11">
        <f t="shared" si="21"/>
        <v>741.97101415306327</v>
      </c>
      <c r="F256" s="11">
        <f t="shared" si="22"/>
        <v>586.35320894688232</v>
      </c>
      <c r="G256" s="10">
        <f t="shared" si="23"/>
        <v>175163.99166991163</v>
      </c>
    </row>
    <row r="257" spans="2:7" x14ac:dyDescent="0.3">
      <c r="B257" s="9">
        <f t="shared" si="18"/>
        <v>53509</v>
      </c>
      <c r="C257" s="10">
        <f t="shared" si="19"/>
        <v>175163.99166991163</v>
      </c>
      <c r="D257" s="11">
        <f t="shared" si="20"/>
        <v>1328.3242230999456</v>
      </c>
      <c r="E257" s="11">
        <f t="shared" si="21"/>
        <v>744.44425086690683</v>
      </c>
      <c r="F257" s="11">
        <f t="shared" si="22"/>
        <v>583.87997223303876</v>
      </c>
      <c r="G257" s="10">
        <f t="shared" si="23"/>
        <v>174419.54741904471</v>
      </c>
    </row>
    <row r="258" spans="2:7" x14ac:dyDescent="0.3">
      <c r="B258" s="9">
        <f t="shared" si="18"/>
        <v>53540</v>
      </c>
      <c r="C258" s="10">
        <f t="shared" si="19"/>
        <v>174419.54741904471</v>
      </c>
      <c r="D258" s="11">
        <f t="shared" si="20"/>
        <v>1328.3242230999456</v>
      </c>
      <c r="E258" s="11">
        <f t="shared" si="21"/>
        <v>746.92573170312983</v>
      </c>
      <c r="F258" s="11">
        <f t="shared" si="22"/>
        <v>581.39849139681576</v>
      </c>
      <c r="G258" s="10">
        <f t="shared" si="23"/>
        <v>173672.62168734157</v>
      </c>
    </row>
    <row r="259" spans="2:7" x14ac:dyDescent="0.3">
      <c r="B259" s="9">
        <f t="shared" si="18"/>
        <v>53571</v>
      </c>
      <c r="C259" s="10">
        <f t="shared" si="19"/>
        <v>173672.62168734157</v>
      </c>
      <c r="D259" s="11">
        <f t="shared" si="20"/>
        <v>1328.3242230999456</v>
      </c>
      <c r="E259" s="11">
        <f t="shared" si="21"/>
        <v>749.41548414214037</v>
      </c>
      <c r="F259" s="11">
        <f t="shared" si="22"/>
        <v>578.90873895780521</v>
      </c>
      <c r="G259" s="10">
        <f t="shared" si="23"/>
        <v>172923.20620319943</v>
      </c>
    </row>
    <row r="260" spans="2:7" x14ac:dyDescent="0.3">
      <c r="B260" s="9">
        <f t="shared" si="18"/>
        <v>53601</v>
      </c>
      <c r="C260" s="10">
        <f t="shared" si="19"/>
        <v>172923.20620319943</v>
      </c>
      <c r="D260" s="11">
        <f t="shared" si="20"/>
        <v>1328.3242230999456</v>
      </c>
      <c r="E260" s="11">
        <f t="shared" si="21"/>
        <v>751.91353575594746</v>
      </c>
      <c r="F260" s="11">
        <f t="shared" si="22"/>
        <v>576.41068734399812</v>
      </c>
      <c r="G260" s="10">
        <f t="shared" si="23"/>
        <v>172171.29266744349</v>
      </c>
    </row>
    <row r="261" spans="2:7" x14ac:dyDescent="0.3">
      <c r="B261" s="9">
        <f t="shared" si="18"/>
        <v>53632</v>
      </c>
      <c r="C261" s="10">
        <f t="shared" si="19"/>
        <v>172171.29266744349</v>
      </c>
      <c r="D261" s="11">
        <f t="shared" si="20"/>
        <v>1328.3242230999456</v>
      </c>
      <c r="E261" s="11">
        <f t="shared" si="21"/>
        <v>754.41991420846728</v>
      </c>
      <c r="F261" s="11">
        <f t="shared" si="22"/>
        <v>573.90430889147831</v>
      </c>
      <c r="G261" s="10">
        <f t="shared" si="23"/>
        <v>171416.87275323502</v>
      </c>
    </row>
    <row r="262" spans="2:7" x14ac:dyDescent="0.3">
      <c r="B262" s="9">
        <f t="shared" si="18"/>
        <v>53662</v>
      </c>
      <c r="C262" s="10">
        <f t="shared" si="19"/>
        <v>171416.87275323502</v>
      </c>
      <c r="D262" s="11">
        <f t="shared" si="20"/>
        <v>1328.3242230999456</v>
      </c>
      <c r="E262" s="11">
        <f t="shared" si="21"/>
        <v>756.93464725582885</v>
      </c>
      <c r="F262" s="11">
        <f t="shared" si="22"/>
        <v>571.38957584411673</v>
      </c>
      <c r="G262" s="10">
        <f t="shared" si="23"/>
        <v>170659.93810597918</v>
      </c>
    </row>
    <row r="263" spans="2:7" x14ac:dyDescent="0.3">
      <c r="B263" s="9">
        <f t="shared" si="18"/>
        <v>53693</v>
      </c>
      <c r="C263" s="10">
        <f t="shared" si="19"/>
        <v>170659.93810597918</v>
      </c>
      <c r="D263" s="11">
        <f t="shared" si="20"/>
        <v>1328.3242230999456</v>
      </c>
      <c r="E263" s="11">
        <f t="shared" si="21"/>
        <v>759.45776274668162</v>
      </c>
      <c r="F263" s="11">
        <f t="shared" si="22"/>
        <v>568.86646035326396</v>
      </c>
      <c r="G263" s="10">
        <f t="shared" si="23"/>
        <v>169900.48034323248</v>
      </c>
    </row>
    <row r="264" spans="2:7" x14ac:dyDescent="0.3">
      <c r="B264" s="9">
        <f t="shared" si="18"/>
        <v>53724</v>
      </c>
      <c r="C264" s="10">
        <f t="shared" si="19"/>
        <v>169900.48034323248</v>
      </c>
      <c r="D264" s="11">
        <f t="shared" si="20"/>
        <v>1328.3242230999456</v>
      </c>
      <c r="E264" s="11">
        <f t="shared" si="21"/>
        <v>761.98928862250398</v>
      </c>
      <c r="F264" s="11">
        <f t="shared" si="22"/>
        <v>566.33493447744161</v>
      </c>
      <c r="G264" s="10">
        <f t="shared" si="23"/>
        <v>169138.49105460997</v>
      </c>
    </row>
    <row r="265" spans="2:7" x14ac:dyDescent="0.3">
      <c r="B265" s="9">
        <f t="shared" si="18"/>
        <v>53752</v>
      </c>
      <c r="C265" s="10">
        <f t="shared" si="19"/>
        <v>169138.49105460997</v>
      </c>
      <c r="D265" s="11">
        <f t="shared" si="20"/>
        <v>1328.3242230999456</v>
      </c>
      <c r="E265" s="11">
        <f t="shared" si="21"/>
        <v>764.52925291791234</v>
      </c>
      <c r="F265" s="11">
        <f t="shared" si="22"/>
        <v>563.79497018203324</v>
      </c>
      <c r="G265" s="10">
        <f t="shared" si="23"/>
        <v>168373.96180169206</v>
      </c>
    </row>
    <row r="266" spans="2:7" x14ac:dyDescent="0.3">
      <c r="B266" s="9">
        <f t="shared" si="18"/>
        <v>53783</v>
      </c>
      <c r="C266" s="10">
        <f t="shared" si="19"/>
        <v>168373.96180169206</v>
      </c>
      <c r="D266" s="11">
        <f t="shared" si="20"/>
        <v>1328.3242230999456</v>
      </c>
      <c r="E266" s="11">
        <f t="shared" si="21"/>
        <v>767.07768376097204</v>
      </c>
      <c r="F266" s="11">
        <f t="shared" si="22"/>
        <v>561.24653933897355</v>
      </c>
      <c r="G266" s="10">
        <f t="shared" si="23"/>
        <v>167606.8841179311</v>
      </c>
    </row>
    <row r="267" spans="2:7" x14ac:dyDescent="0.3">
      <c r="B267" s="9">
        <f t="shared" si="18"/>
        <v>53813</v>
      </c>
      <c r="C267" s="10">
        <f t="shared" si="19"/>
        <v>167606.8841179311</v>
      </c>
      <c r="D267" s="11">
        <f t="shared" si="20"/>
        <v>1328.3242230999456</v>
      </c>
      <c r="E267" s="11">
        <f t="shared" si="21"/>
        <v>769.63460937350851</v>
      </c>
      <c r="F267" s="11">
        <f t="shared" si="22"/>
        <v>558.68961372643707</v>
      </c>
      <c r="G267" s="10">
        <f t="shared" si="23"/>
        <v>166837.24950855758</v>
      </c>
    </row>
    <row r="268" spans="2:7" x14ac:dyDescent="0.3">
      <c r="B268" s="9">
        <f t="shared" si="18"/>
        <v>53844</v>
      </c>
      <c r="C268" s="10">
        <f t="shared" si="19"/>
        <v>166837.24950855758</v>
      </c>
      <c r="D268" s="11">
        <f t="shared" si="20"/>
        <v>1328.3242230999456</v>
      </c>
      <c r="E268" s="11">
        <f t="shared" si="21"/>
        <v>772.20005807142024</v>
      </c>
      <c r="F268" s="11">
        <f t="shared" si="22"/>
        <v>556.12416502852534</v>
      </c>
      <c r="G268" s="10">
        <f t="shared" si="23"/>
        <v>166065.04945048617</v>
      </c>
    </row>
    <row r="269" spans="2:7" x14ac:dyDescent="0.3">
      <c r="B269" s="9">
        <f t="shared" ref="B269:B332" si="24">EDATE(B268,1)</f>
        <v>53874</v>
      </c>
      <c r="C269" s="10">
        <f t="shared" ref="C269:C332" si="25">G268</f>
        <v>166065.04945048617</v>
      </c>
      <c r="D269" s="11">
        <f t="shared" ref="D269:D332" si="26">IF(G268&lt;=0.1,0,-PMT($C$6,$C$7,$C$3))</f>
        <v>1328.3242230999456</v>
      </c>
      <c r="E269" s="11">
        <f t="shared" ref="E269:E332" si="27">D269-F269</f>
        <v>774.7740582649916</v>
      </c>
      <c r="F269" s="11">
        <f t="shared" ref="F269:F332" si="28">C269*$C$6</f>
        <v>553.55016483495399</v>
      </c>
      <c r="G269" s="10">
        <f t="shared" ref="G269:G332" si="29">C269-E269</f>
        <v>165290.27539222117</v>
      </c>
    </row>
    <row r="270" spans="2:7" x14ac:dyDescent="0.3">
      <c r="B270" s="9">
        <f t="shared" si="24"/>
        <v>53905</v>
      </c>
      <c r="C270" s="10">
        <f t="shared" si="25"/>
        <v>165290.27539222117</v>
      </c>
      <c r="D270" s="11">
        <f t="shared" si="26"/>
        <v>1328.3242230999456</v>
      </c>
      <c r="E270" s="11">
        <f t="shared" si="27"/>
        <v>777.35663845920828</v>
      </c>
      <c r="F270" s="11">
        <f t="shared" si="28"/>
        <v>550.9675846407373</v>
      </c>
      <c r="G270" s="10">
        <f t="shared" si="29"/>
        <v>164512.91875376197</v>
      </c>
    </row>
    <row r="271" spans="2:7" x14ac:dyDescent="0.3">
      <c r="B271" s="9">
        <f t="shared" si="24"/>
        <v>53936</v>
      </c>
      <c r="C271" s="10">
        <f t="shared" si="25"/>
        <v>164512.91875376197</v>
      </c>
      <c r="D271" s="11">
        <f t="shared" si="26"/>
        <v>1328.3242230999456</v>
      </c>
      <c r="E271" s="11">
        <f t="shared" si="27"/>
        <v>779.94782725407231</v>
      </c>
      <c r="F271" s="11">
        <f t="shared" si="28"/>
        <v>548.37639584587328</v>
      </c>
      <c r="G271" s="10">
        <f t="shared" si="29"/>
        <v>163732.9709265079</v>
      </c>
    </row>
    <row r="272" spans="2:7" x14ac:dyDescent="0.3">
      <c r="B272" s="9">
        <f t="shared" si="24"/>
        <v>53966</v>
      </c>
      <c r="C272" s="10">
        <f t="shared" si="25"/>
        <v>163732.9709265079</v>
      </c>
      <c r="D272" s="11">
        <f t="shared" si="26"/>
        <v>1328.3242230999456</v>
      </c>
      <c r="E272" s="11">
        <f t="shared" si="27"/>
        <v>782.54765334491924</v>
      </c>
      <c r="F272" s="11">
        <f t="shared" si="28"/>
        <v>545.77656975502634</v>
      </c>
      <c r="G272" s="10">
        <f t="shared" si="29"/>
        <v>162950.42327316297</v>
      </c>
    </row>
    <row r="273" spans="2:7" x14ac:dyDescent="0.3">
      <c r="B273" s="9">
        <f t="shared" si="24"/>
        <v>53997</v>
      </c>
      <c r="C273" s="10">
        <f t="shared" si="25"/>
        <v>162950.42327316297</v>
      </c>
      <c r="D273" s="11">
        <f t="shared" si="26"/>
        <v>1328.3242230999456</v>
      </c>
      <c r="E273" s="11">
        <f t="shared" si="27"/>
        <v>785.15614552273564</v>
      </c>
      <c r="F273" s="11">
        <f t="shared" si="28"/>
        <v>543.16807757720994</v>
      </c>
      <c r="G273" s="10">
        <f t="shared" si="29"/>
        <v>162165.26712764023</v>
      </c>
    </row>
    <row r="274" spans="2:7" x14ac:dyDescent="0.3">
      <c r="B274" s="9">
        <f t="shared" si="24"/>
        <v>54027</v>
      </c>
      <c r="C274" s="10">
        <f t="shared" si="25"/>
        <v>162165.26712764023</v>
      </c>
      <c r="D274" s="11">
        <f t="shared" si="26"/>
        <v>1328.3242230999456</v>
      </c>
      <c r="E274" s="11">
        <f t="shared" si="27"/>
        <v>787.77333267447818</v>
      </c>
      <c r="F274" s="11">
        <f t="shared" si="28"/>
        <v>540.5508904254674</v>
      </c>
      <c r="G274" s="10">
        <f t="shared" si="29"/>
        <v>161377.49379496576</v>
      </c>
    </row>
    <row r="275" spans="2:7" x14ac:dyDescent="0.3">
      <c r="B275" s="9">
        <f t="shared" si="24"/>
        <v>54058</v>
      </c>
      <c r="C275" s="10">
        <f t="shared" si="25"/>
        <v>161377.49379496576</v>
      </c>
      <c r="D275" s="11">
        <f t="shared" si="26"/>
        <v>1328.3242230999456</v>
      </c>
      <c r="E275" s="11">
        <f t="shared" si="27"/>
        <v>790.39924378339299</v>
      </c>
      <c r="F275" s="11">
        <f t="shared" si="28"/>
        <v>537.92497931655259</v>
      </c>
      <c r="G275" s="10">
        <f t="shared" si="29"/>
        <v>160587.09455118238</v>
      </c>
    </row>
    <row r="276" spans="2:7" x14ac:dyDescent="0.3">
      <c r="B276" s="9">
        <f t="shared" si="24"/>
        <v>54089</v>
      </c>
      <c r="C276" s="10">
        <f t="shared" si="25"/>
        <v>160587.09455118238</v>
      </c>
      <c r="D276" s="11">
        <f t="shared" si="26"/>
        <v>1328.3242230999456</v>
      </c>
      <c r="E276" s="11">
        <f t="shared" si="27"/>
        <v>793.0339079293376</v>
      </c>
      <c r="F276" s="11">
        <f t="shared" si="28"/>
        <v>535.29031517060798</v>
      </c>
      <c r="G276" s="10">
        <f t="shared" si="29"/>
        <v>159794.06064325303</v>
      </c>
    </row>
    <row r="277" spans="2:7" x14ac:dyDescent="0.3">
      <c r="B277" s="9">
        <f t="shared" si="24"/>
        <v>54118</v>
      </c>
      <c r="C277" s="10">
        <f t="shared" si="25"/>
        <v>159794.06064325303</v>
      </c>
      <c r="D277" s="11">
        <f t="shared" si="26"/>
        <v>1328.3242230999456</v>
      </c>
      <c r="E277" s="11">
        <f t="shared" si="27"/>
        <v>795.67735428910214</v>
      </c>
      <c r="F277" s="11">
        <f t="shared" si="28"/>
        <v>532.64686881084344</v>
      </c>
      <c r="G277" s="10">
        <f t="shared" si="29"/>
        <v>158998.38328896393</v>
      </c>
    </row>
    <row r="278" spans="2:7" x14ac:dyDescent="0.3">
      <c r="B278" s="9">
        <f t="shared" si="24"/>
        <v>54149</v>
      </c>
      <c r="C278" s="10">
        <f t="shared" si="25"/>
        <v>158998.38328896393</v>
      </c>
      <c r="D278" s="11">
        <f t="shared" si="26"/>
        <v>1328.3242230999456</v>
      </c>
      <c r="E278" s="11">
        <f t="shared" si="27"/>
        <v>798.32961213673241</v>
      </c>
      <c r="F278" s="11">
        <f t="shared" si="28"/>
        <v>529.99461096321318</v>
      </c>
      <c r="G278" s="10">
        <f t="shared" si="29"/>
        <v>158200.0536768272</v>
      </c>
    </row>
    <row r="279" spans="2:7" x14ac:dyDescent="0.3">
      <c r="B279" s="9">
        <f t="shared" si="24"/>
        <v>54179</v>
      </c>
      <c r="C279" s="10">
        <f t="shared" si="25"/>
        <v>158200.0536768272</v>
      </c>
      <c r="D279" s="11">
        <f t="shared" si="26"/>
        <v>1328.3242230999456</v>
      </c>
      <c r="E279" s="11">
        <f t="shared" si="27"/>
        <v>800.99071084385491</v>
      </c>
      <c r="F279" s="11">
        <f t="shared" si="28"/>
        <v>527.33351225609067</v>
      </c>
      <c r="G279" s="10">
        <f t="shared" si="29"/>
        <v>157399.06296598335</v>
      </c>
    </row>
    <row r="280" spans="2:7" x14ac:dyDescent="0.3">
      <c r="B280" s="9">
        <f t="shared" si="24"/>
        <v>54210</v>
      </c>
      <c r="C280" s="10">
        <f t="shared" si="25"/>
        <v>157399.06296598335</v>
      </c>
      <c r="D280" s="11">
        <f t="shared" si="26"/>
        <v>1328.3242230999456</v>
      </c>
      <c r="E280" s="11">
        <f t="shared" si="27"/>
        <v>803.660679880001</v>
      </c>
      <c r="F280" s="11">
        <f t="shared" si="28"/>
        <v>524.66354321994459</v>
      </c>
      <c r="G280" s="10">
        <f t="shared" si="29"/>
        <v>156595.40228610334</v>
      </c>
    </row>
    <row r="281" spans="2:7" x14ac:dyDescent="0.3">
      <c r="B281" s="9">
        <f t="shared" si="24"/>
        <v>54240</v>
      </c>
      <c r="C281" s="10">
        <f t="shared" si="25"/>
        <v>156595.40228610334</v>
      </c>
      <c r="D281" s="11">
        <f t="shared" si="26"/>
        <v>1328.3242230999456</v>
      </c>
      <c r="E281" s="11">
        <f t="shared" si="27"/>
        <v>806.33954881293437</v>
      </c>
      <c r="F281" s="11">
        <f t="shared" si="28"/>
        <v>521.98467428701122</v>
      </c>
      <c r="G281" s="10">
        <f t="shared" si="29"/>
        <v>155789.0627372904</v>
      </c>
    </row>
    <row r="282" spans="2:7" x14ac:dyDescent="0.3">
      <c r="B282" s="9">
        <f t="shared" si="24"/>
        <v>54271</v>
      </c>
      <c r="C282" s="10">
        <f t="shared" si="25"/>
        <v>155789.0627372904</v>
      </c>
      <c r="D282" s="11">
        <f t="shared" si="26"/>
        <v>1328.3242230999456</v>
      </c>
      <c r="E282" s="11">
        <f t="shared" si="27"/>
        <v>809.0273473089776</v>
      </c>
      <c r="F282" s="11">
        <f t="shared" si="28"/>
        <v>519.29687579096799</v>
      </c>
      <c r="G282" s="10">
        <f t="shared" si="29"/>
        <v>154980.03538998141</v>
      </c>
    </row>
    <row r="283" spans="2:7" x14ac:dyDescent="0.3">
      <c r="B283" s="9">
        <f t="shared" si="24"/>
        <v>54302</v>
      </c>
      <c r="C283" s="10">
        <f t="shared" si="25"/>
        <v>154980.03538998141</v>
      </c>
      <c r="D283" s="11">
        <f t="shared" si="26"/>
        <v>1328.3242230999456</v>
      </c>
      <c r="E283" s="11">
        <f t="shared" si="27"/>
        <v>811.72410513334091</v>
      </c>
      <c r="F283" s="11">
        <f t="shared" si="28"/>
        <v>516.60011796660467</v>
      </c>
      <c r="G283" s="10">
        <f t="shared" si="29"/>
        <v>154168.31128484805</v>
      </c>
    </row>
    <row r="284" spans="2:7" x14ac:dyDescent="0.3">
      <c r="B284" s="9">
        <f t="shared" si="24"/>
        <v>54332</v>
      </c>
      <c r="C284" s="10">
        <f t="shared" si="25"/>
        <v>154168.31128484805</v>
      </c>
      <c r="D284" s="11">
        <f t="shared" si="26"/>
        <v>1328.3242230999456</v>
      </c>
      <c r="E284" s="11">
        <f t="shared" si="27"/>
        <v>814.42985215045201</v>
      </c>
      <c r="F284" s="11">
        <f t="shared" si="28"/>
        <v>513.89437094949358</v>
      </c>
      <c r="G284" s="10">
        <f t="shared" si="29"/>
        <v>153353.88143269761</v>
      </c>
    </row>
    <row r="285" spans="2:7" x14ac:dyDescent="0.3">
      <c r="B285" s="9">
        <f t="shared" si="24"/>
        <v>54363</v>
      </c>
      <c r="C285" s="10">
        <f t="shared" si="25"/>
        <v>153353.88143269761</v>
      </c>
      <c r="D285" s="11">
        <f t="shared" si="26"/>
        <v>1328.3242230999456</v>
      </c>
      <c r="E285" s="11">
        <f t="shared" si="27"/>
        <v>817.14461832428685</v>
      </c>
      <c r="F285" s="11">
        <f t="shared" si="28"/>
        <v>511.17960477565873</v>
      </c>
      <c r="G285" s="10">
        <f t="shared" si="29"/>
        <v>152536.73681437332</v>
      </c>
    </row>
    <row r="286" spans="2:7" x14ac:dyDescent="0.3">
      <c r="B286" s="9">
        <f t="shared" si="24"/>
        <v>54393</v>
      </c>
      <c r="C286" s="10">
        <f t="shared" si="25"/>
        <v>152536.73681437332</v>
      </c>
      <c r="D286" s="11">
        <f t="shared" si="26"/>
        <v>1328.3242230999456</v>
      </c>
      <c r="E286" s="11">
        <f t="shared" si="27"/>
        <v>819.86843371870123</v>
      </c>
      <c r="F286" s="11">
        <f t="shared" si="28"/>
        <v>508.45578938124441</v>
      </c>
      <c r="G286" s="10">
        <f t="shared" si="29"/>
        <v>151716.8683806546</v>
      </c>
    </row>
    <row r="287" spans="2:7" x14ac:dyDescent="0.3">
      <c r="B287" s="9">
        <f t="shared" si="24"/>
        <v>54424</v>
      </c>
      <c r="C287" s="10">
        <f t="shared" si="25"/>
        <v>151716.8683806546</v>
      </c>
      <c r="D287" s="11">
        <f t="shared" si="26"/>
        <v>1328.3242230999456</v>
      </c>
      <c r="E287" s="11">
        <f t="shared" si="27"/>
        <v>822.60132849776346</v>
      </c>
      <c r="F287" s="11">
        <f t="shared" si="28"/>
        <v>505.72289460218207</v>
      </c>
      <c r="G287" s="10">
        <f t="shared" si="29"/>
        <v>150894.26705215685</v>
      </c>
    </row>
    <row r="288" spans="2:7" x14ac:dyDescent="0.3">
      <c r="B288" s="9">
        <f t="shared" si="24"/>
        <v>54455</v>
      </c>
      <c r="C288" s="10">
        <f t="shared" si="25"/>
        <v>150894.26705215685</v>
      </c>
      <c r="D288" s="11">
        <f t="shared" si="26"/>
        <v>1328.3242230999456</v>
      </c>
      <c r="E288" s="11">
        <f t="shared" si="27"/>
        <v>825.34333292608937</v>
      </c>
      <c r="F288" s="11">
        <f t="shared" si="28"/>
        <v>502.98089017385621</v>
      </c>
      <c r="G288" s="10">
        <f t="shared" si="29"/>
        <v>150068.92371923075</v>
      </c>
    </row>
    <row r="289" spans="2:7" x14ac:dyDescent="0.3">
      <c r="B289" s="9">
        <f t="shared" si="24"/>
        <v>54483</v>
      </c>
      <c r="C289" s="10">
        <f t="shared" si="25"/>
        <v>150068.92371923075</v>
      </c>
      <c r="D289" s="11">
        <f t="shared" si="26"/>
        <v>1328.3242230999456</v>
      </c>
      <c r="E289" s="11">
        <f t="shared" si="27"/>
        <v>828.09447736917639</v>
      </c>
      <c r="F289" s="11">
        <f t="shared" si="28"/>
        <v>500.2297457307692</v>
      </c>
      <c r="G289" s="10">
        <f t="shared" si="29"/>
        <v>149240.82924186156</v>
      </c>
    </row>
    <row r="290" spans="2:7" x14ac:dyDescent="0.3">
      <c r="B290" s="9">
        <f t="shared" si="24"/>
        <v>54514</v>
      </c>
      <c r="C290" s="10">
        <f t="shared" si="25"/>
        <v>149240.82924186156</v>
      </c>
      <c r="D290" s="11">
        <f t="shared" si="26"/>
        <v>1328.3242230999456</v>
      </c>
      <c r="E290" s="11">
        <f t="shared" si="27"/>
        <v>830.85479229374027</v>
      </c>
      <c r="F290" s="11">
        <f t="shared" si="28"/>
        <v>497.46943080620525</v>
      </c>
      <c r="G290" s="10">
        <f t="shared" si="29"/>
        <v>148409.97444956782</v>
      </c>
    </row>
    <row r="291" spans="2:7" x14ac:dyDescent="0.3">
      <c r="B291" s="9">
        <f t="shared" si="24"/>
        <v>54544</v>
      </c>
      <c r="C291" s="10">
        <f t="shared" si="25"/>
        <v>148409.97444956782</v>
      </c>
      <c r="D291" s="11">
        <f t="shared" si="26"/>
        <v>1328.3242230999456</v>
      </c>
      <c r="E291" s="11">
        <f t="shared" si="27"/>
        <v>833.6243082680528</v>
      </c>
      <c r="F291" s="11">
        <f t="shared" si="28"/>
        <v>494.69991483189273</v>
      </c>
      <c r="G291" s="10">
        <f t="shared" si="29"/>
        <v>147576.35014129977</v>
      </c>
    </row>
    <row r="292" spans="2:7" x14ac:dyDescent="0.3">
      <c r="B292" s="9">
        <f t="shared" si="24"/>
        <v>54575</v>
      </c>
      <c r="C292" s="10">
        <f t="shared" si="25"/>
        <v>147576.35014129977</v>
      </c>
      <c r="D292" s="11">
        <f t="shared" si="26"/>
        <v>1328.3242230999456</v>
      </c>
      <c r="E292" s="11">
        <f t="shared" si="27"/>
        <v>836.40305596227972</v>
      </c>
      <c r="F292" s="11">
        <f t="shared" si="28"/>
        <v>491.92116713766592</v>
      </c>
      <c r="G292" s="10">
        <f t="shared" si="29"/>
        <v>146739.94708533748</v>
      </c>
    </row>
    <row r="293" spans="2:7" x14ac:dyDescent="0.3">
      <c r="B293" s="9">
        <f t="shared" si="24"/>
        <v>54605</v>
      </c>
      <c r="C293" s="10">
        <f t="shared" si="25"/>
        <v>146739.94708533748</v>
      </c>
      <c r="D293" s="11">
        <f t="shared" si="26"/>
        <v>1328.3242230999456</v>
      </c>
      <c r="E293" s="11">
        <f t="shared" si="27"/>
        <v>839.1910661488206</v>
      </c>
      <c r="F293" s="11">
        <f t="shared" si="28"/>
        <v>489.13315695112499</v>
      </c>
      <c r="G293" s="10">
        <f t="shared" si="29"/>
        <v>145900.75601918867</v>
      </c>
    </row>
    <row r="294" spans="2:7" x14ac:dyDescent="0.3">
      <c r="B294" s="9">
        <f t="shared" si="24"/>
        <v>54636</v>
      </c>
      <c r="C294" s="10">
        <f t="shared" si="25"/>
        <v>145900.75601918867</v>
      </c>
      <c r="D294" s="11">
        <f t="shared" si="26"/>
        <v>1328.3242230999456</v>
      </c>
      <c r="E294" s="11">
        <f t="shared" si="27"/>
        <v>841.98836970264995</v>
      </c>
      <c r="F294" s="11">
        <f t="shared" si="28"/>
        <v>486.33585339729564</v>
      </c>
      <c r="G294" s="10">
        <f t="shared" si="29"/>
        <v>145058.76764948602</v>
      </c>
    </row>
    <row r="295" spans="2:7" x14ac:dyDescent="0.3">
      <c r="B295" s="9">
        <f t="shared" si="24"/>
        <v>54667</v>
      </c>
      <c r="C295" s="10">
        <f t="shared" si="25"/>
        <v>145058.76764948602</v>
      </c>
      <c r="D295" s="11">
        <f t="shared" si="26"/>
        <v>1328.3242230999456</v>
      </c>
      <c r="E295" s="11">
        <f t="shared" si="27"/>
        <v>844.79499760165879</v>
      </c>
      <c r="F295" s="11">
        <f t="shared" si="28"/>
        <v>483.52922549828679</v>
      </c>
      <c r="G295" s="10">
        <f t="shared" si="29"/>
        <v>144213.97265188437</v>
      </c>
    </row>
    <row r="296" spans="2:7" x14ac:dyDescent="0.3">
      <c r="B296" s="9">
        <f t="shared" si="24"/>
        <v>54697</v>
      </c>
      <c r="C296" s="10">
        <f t="shared" si="25"/>
        <v>144213.97265188437</v>
      </c>
      <c r="D296" s="11">
        <f t="shared" si="26"/>
        <v>1328.3242230999456</v>
      </c>
      <c r="E296" s="11">
        <f t="shared" si="27"/>
        <v>847.61098092699763</v>
      </c>
      <c r="F296" s="11">
        <f t="shared" si="28"/>
        <v>480.7132421729479</v>
      </c>
      <c r="G296" s="10">
        <f t="shared" si="29"/>
        <v>143366.36167095738</v>
      </c>
    </row>
    <row r="297" spans="2:7" x14ac:dyDescent="0.3">
      <c r="B297" s="9">
        <f t="shared" si="24"/>
        <v>54728</v>
      </c>
      <c r="C297" s="10">
        <f t="shared" si="25"/>
        <v>143366.36167095738</v>
      </c>
      <c r="D297" s="11">
        <f t="shared" si="26"/>
        <v>1328.3242230999456</v>
      </c>
      <c r="E297" s="11">
        <f t="shared" si="27"/>
        <v>850.43635086342101</v>
      </c>
      <c r="F297" s="11">
        <f t="shared" si="28"/>
        <v>477.88787223652463</v>
      </c>
      <c r="G297" s="10">
        <f t="shared" si="29"/>
        <v>142515.92532009396</v>
      </c>
    </row>
    <row r="298" spans="2:7" x14ac:dyDescent="0.3">
      <c r="B298" s="9">
        <f t="shared" si="24"/>
        <v>54758</v>
      </c>
      <c r="C298" s="10">
        <f t="shared" si="25"/>
        <v>142515.92532009396</v>
      </c>
      <c r="D298" s="11">
        <f t="shared" si="26"/>
        <v>1328.3242230999456</v>
      </c>
      <c r="E298" s="11">
        <f t="shared" si="27"/>
        <v>853.27113869963239</v>
      </c>
      <c r="F298" s="11">
        <f t="shared" si="28"/>
        <v>475.0530844003132</v>
      </c>
      <c r="G298" s="10">
        <f t="shared" si="29"/>
        <v>141662.65418139432</v>
      </c>
    </row>
    <row r="299" spans="2:7" x14ac:dyDescent="0.3">
      <c r="B299" s="9">
        <f t="shared" si="24"/>
        <v>54789</v>
      </c>
      <c r="C299" s="10">
        <f t="shared" si="25"/>
        <v>141662.65418139432</v>
      </c>
      <c r="D299" s="11">
        <f t="shared" si="26"/>
        <v>1328.3242230999456</v>
      </c>
      <c r="E299" s="11">
        <f t="shared" si="27"/>
        <v>856.11537582863116</v>
      </c>
      <c r="F299" s="11">
        <f t="shared" si="28"/>
        <v>472.20884727131443</v>
      </c>
      <c r="G299" s="10">
        <f t="shared" si="29"/>
        <v>140806.53880556568</v>
      </c>
    </row>
    <row r="300" spans="2:7" x14ac:dyDescent="0.3">
      <c r="B300" s="9">
        <f t="shared" si="24"/>
        <v>54820</v>
      </c>
      <c r="C300" s="10">
        <f t="shared" si="25"/>
        <v>140806.53880556568</v>
      </c>
      <c r="D300" s="11">
        <f t="shared" si="26"/>
        <v>1328.3242230999456</v>
      </c>
      <c r="E300" s="11">
        <f t="shared" si="27"/>
        <v>858.96909374806</v>
      </c>
      <c r="F300" s="11">
        <f t="shared" si="28"/>
        <v>469.35512935188564</v>
      </c>
      <c r="G300" s="10">
        <f t="shared" si="29"/>
        <v>139947.56971181763</v>
      </c>
    </row>
    <row r="301" spans="2:7" x14ac:dyDescent="0.3">
      <c r="B301" s="9">
        <f t="shared" si="24"/>
        <v>54848</v>
      </c>
      <c r="C301" s="10">
        <f t="shared" si="25"/>
        <v>139947.56971181763</v>
      </c>
      <c r="D301" s="11">
        <f t="shared" si="26"/>
        <v>1328.3242230999456</v>
      </c>
      <c r="E301" s="11">
        <f t="shared" si="27"/>
        <v>861.83232406055345</v>
      </c>
      <c r="F301" s="11">
        <f t="shared" si="28"/>
        <v>466.49189903939214</v>
      </c>
      <c r="G301" s="10">
        <f t="shared" si="29"/>
        <v>139085.73738775708</v>
      </c>
    </row>
    <row r="302" spans="2:7" x14ac:dyDescent="0.3">
      <c r="B302" s="9">
        <f t="shared" si="24"/>
        <v>54879</v>
      </c>
      <c r="C302" s="10">
        <f t="shared" si="25"/>
        <v>139085.73738775708</v>
      </c>
      <c r="D302" s="11">
        <f t="shared" si="26"/>
        <v>1328.3242230999456</v>
      </c>
      <c r="E302" s="11">
        <f t="shared" si="27"/>
        <v>864.70509847408857</v>
      </c>
      <c r="F302" s="11">
        <f t="shared" si="28"/>
        <v>463.61912462585695</v>
      </c>
      <c r="G302" s="10">
        <f t="shared" si="29"/>
        <v>138221.032289283</v>
      </c>
    </row>
    <row r="303" spans="2:7" x14ac:dyDescent="0.3">
      <c r="B303" s="9">
        <f t="shared" si="24"/>
        <v>54909</v>
      </c>
      <c r="C303" s="10">
        <f t="shared" si="25"/>
        <v>138221.032289283</v>
      </c>
      <c r="D303" s="11">
        <f t="shared" si="26"/>
        <v>1328.3242230999456</v>
      </c>
      <c r="E303" s="11">
        <f t="shared" si="27"/>
        <v>867.58744880233553</v>
      </c>
      <c r="F303" s="11">
        <f t="shared" si="28"/>
        <v>460.73677429761005</v>
      </c>
      <c r="G303" s="10">
        <f t="shared" si="29"/>
        <v>137353.44484048066</v>
      </c>
    </row>
    <row r="304" spans="2:7" x14ac:dyDescent="0.3">
      <c r="B304" s="9">
        <f t="shared" si="24"/>
        <v>54940</v>
      </c>
      <c r="C304" s="10">
        <f t="shared" si="25"/>
        <v>137353.44484048066</v>
      </c>
      <c r="D304" s="11">
        <f t="shared" si="26"/>
        <v>1328.3242230999456</v>
      </c>
      <c r="E304" s="11">
        <f t="shared" si="27"/>
        <v>870.47940696500996</v>
      </c>
      <c r="F304" s="11">
        <f t="shared" si="28"/>
        <v>457.84481613493557</v>
      </c>
      <c r="G304" s="10">
        <f t="shared" si="29"/>
        <v>136482.96543351564</v>
      </c>
    </row>
    <row r="305" spans="2:7" x14ac:dyDescent="0.3">
      <c r="B305" s="9">
        <f t="shared" si="24"/>
        <v>54970</v>
      </c>
      <c r="C305" s="10">
        <f t="shared" si="25"/>
        <v>136482.96543351564</v>
      </c>
      <c r="D305" s="11">
        <f t="shared" si="26"/>
        <v>1328.3242230999456</v>
      </c>
      <c r="E305" s="11">
        <f t="shared" si="27"/>
        <v>873.38100498822678</v>
      </c>
      <c r="F305" s="11">
        <f t="shared" si="28"/>
        <v>454.94321811171881</v>
      </c>
      <c r="G305" s="10">
        <f t="shared" si="29"/>
        <v>135609.58442852742</v>
      </c>
    </row>
    <row r="306" spans="2:7" x14ac:dyDescent="0.3">
      <c r="B306" s="9">
        <f t="shared" si="24"/>
        <v>55001</v>
      </c>
      <c r="C306" s="10">
        <f t="shared" si="25"/>
        <v>135609.58442852742</v>
      </c>
      <c r="D306" s="11">
        <f t="shared" si="26"/>
        <v>1328.3242230999456</v>
      </c>
      <c r="E306" s="11">
        <f t="shared" si="27"/>
        <v>876.29227500485422</v>
      </c>
      <c r="F306" s="11">
        <f t="shared" si="28"/>
        <v>452.03194809509142</v>
      </c>
      <c r="G306" s="10">
        <f t="shared" si="29"/>
        <v>134733.29215352258</v>
      </c>
    </row>
    <row r="307" spans="2:7" x14ac:dyDescent="0.3">
      <c r="B307" s="9">
        <f t="shared" si="24"/>
        <v>55032</v>
      </c>
      <c r="C307" s="10">
        <f t="shared" si="25"/>
        <v>134733.29215352258</v>
      </c>
      <c r="D307" s="11">
        <f t="shared" si="26"/>
        <v>1328.3242230999456</v>
      </c>
      <c r="E307" s="11">
        <f t="shared" si="27"/>
        <v>879.21324925487033</v>
      </c>
      <c r="F307" s="11">
        <f t="shared" si="28"/>
        <v>449.11097384507531</v>
      </c>
      <c r="G307" s="10">
        <f t="shared" si="29"/>
        <v>133854.07890426769</v>
      </c>
    </row>
    <row r="308" spans="2:7" x14ac:dyDescent="0.3">
      <c r="B308" s="9">
        <f t="shared" si="24"/>
        <v>55062</v>
      </c>
      <c r="C308" s="10">
        <f t="shared" si="25"/>
        <v>133854.07890426769</v>
      </c>
      <c r="D308" s="11">
        <f t="shared" si="26"/>
        <v>1328.3242230999456</v>
      </c>
      <c r="E308" s="11">
        <f t="shared" si="27"/>
        <v>882.14396008571998</v>
      </c>
      <c r="F308" s="11">
        <f t="shared" si="28"/>
        <v>446.18026301422566</v>
      </c>
      <c r="G308" s="10">
        <f t="shared" si="29"/>
        <v>132971.93494418196</v>
      </c>
    </row>
    <row r="309" spans="2:7" x14ac:dyDescent="0.3">
      <c r="B309" s="9">
        <f t="shared" si="24"/>
        <v>55093</v>
      </c>
      <c r="C309" s="10">
        <f t="shared" si="25"/>
        <v>132971.93494418196</v>
      </c>
      <c r="D309" s="11">
        <f t="shared" si="26"/>
        <v>1328.3242230999456</v>
      </c>
      <c r="E309" s="11">
        <f t="shared" si="27"/>
        <v>885.08443995267226</v>
      </c>
      <c r="F309" s="11">
        <f t="shared" si="28"/>
        <v>443.23978314727327</v>
      </c>
      <c r="G309" s="10">
        <f t="shared" si="29"/>
        <v>132086.85050422928</v>
      </c>
    </row>
    <row r="310" spans="2:7" x14ac:dyDescent="0.3">
      <c r="B310" s="9">
        <f t="shared" si="24"/>
        <v>55123</v>
      </c>
      <c r="C310" s="10">
        <f t="shared" si="25"/>
        <v>132086.85050422928</v>
      </c>
      <c r="D310" s="11">
        <f t="shared" si="26"/>
        <v>1328.3242230999456</v>
      </c>
      <c r="E310" s="11">
        <f t="shared" si="27"/>
        <v>888.03472141918132</v>
      </c>
      <c r="F310" s="11">
        <f t="shared" si="28"/>
        <v>440.28950168076432</v>
      </c>
      <c r="G310" s="10">
        <f t="shared" si="29"/>
        <v>131198.8157828101</v>
      </c>
    </row>
    <row r="311" spans="2:7" x14ac:dyDescent="0.3">
      <c r="B311" s="9">
        <f t="shared" si="24"/>
        <v>55154</v>
      </c>
      <c r="C311" s="10">
        <f t="shared" si="25"/>
        <v>131198.8157828101</v>
      </c>
      <c r="D311" s="11">
        <f t="shared" si="26"/>
        <v>1328.3242230999456</v>
      </c>
      <c r="E311" s="11">
        <f t="shared" si="27"/>
        <v>890.99483715724523</v>
      </c>
      <c r="F311" s="11">
        <f t="shared" si="28"/>
        <v>437.32938594270036</v>
      </c>
      <c r="G311" s="10">
        <f t="shared" si="29"/>
        <v>130307.82094565286</v>
      </c>
    </row>
    <row r="312" spans="2:7" x14ac:dyDescent="0.3">
      <c r="B312" s="9">
        <f t="shared" si="24"/>
        <v>55185</v>
      </c>
      <c r="C312" s="10">
        <f t="shared" si="25"/>
        <v>130307.82094565286</v>
      </c>
      <c r="D312" s="11">
        <f t="shared" si="26"/>
        <v>1328.3242230999456</v>
      </c>
      <c r="E312" s="11">
        <f t="shared" si="27"/>
        <v>893.96481994776934</v>
      </c>
      <c r="F312" s="11">
        <f t="shared" si="28"/>
        <v>434.35940315217624</v>
      </c>
      <c r="G312" s="10">
        <f t="shared" si="29"/>
        <v>129413.85612570509</v>
      </c>
    </row>
    <row r="313" spans="2:7" x14ac:dyDescent="0.3">
      <c r="B313" s="9">
        <f t="shared" si="24"/>
        <v>55213</v>
      </c>
      <c r="C313" s="10">
        <f t="shared" si="25"/>
        <v>129413.85612570509</v>
      </c>
      <c r="D313" s="11">
        <f t="shared" si="26"/>
        <v>1328.3242230999456</v>
      </c>
      <c r="E313" s="11">
        <f t="shared" si="27"/>
        <v>896.94470268092857</v>
      </c>
      <c r="F313" s="11">
        <f t="shared" si="28"/>
        <v>431.37952041901701</v>
      </c>
      <c r="G313" s="10">
        <f t="shared" si="29"/>
        <v>128516.91142302415</v>
      </c>
    </row>
    <row r="314" spans="2:7" x14ac:dyDescent="0.3">
      <c r="B314" s="9">
        <f t="shared" si="24"/>
        <v>55244</v>
      </c>
      <c r="C314" s="10">
        <f t="shared" si="25"/>
        <v>128516.91142302415</v>
      </c>
      <c r="D314" s="11">
        <f t="shared" si="26"/>
        <v>1328.3242230999456</v>
      </c>
      <c r="E314" s="11">
        <f t="shared" si="27"/>
        <v>899.93451835653173</v>
      </c>
      <c r="F314" s="11">
        <f t="shared" si="28"/>
        <v>428.38970474341386</v>
      </c>
      <c r="G314" s="10">
        <f t="shared" si="29"/>
        <v>127616.97690466762</v>
      </c>
    </row>
    <row r="315" spans="2:7" x14ac:dyDescent="0.3">
      <c r="B315" s="9">
        <f t="shared" si="24"/>
        <v>55274</v>
      </c>
      <c r="C315" s="10">
        <f t="shared" si="25"/>
        <v>127616.97690466762</v>
      </c>
      <c r="D315" s="11">
        <f t="shared" si="26"/>
        <v>1328.3242230999456</v>
      </c>
      <c r="E315" s="11">
        <f t="shared" si="27"/>
        <v>902.93430008438679</v>
      </c>
      <c r="F315" s="11">
        <f t="shared" si="28"/>
        <v>425.38992301555879</v>
      </c>
      <c r="G315" s="10">
        <f t="shared" si="29"/>
        <v>126714.04260458324</v>
      </c>
    </row>
    <row r="316" spans="2:7" x14ac:dyDescent="0.3">
      <c r="B316" s="9">
        <f t="shared" si="24"/>
        <v>55305</v>
      </c>
      <c r="C316" s="10">
        <f t="shared" si="25"/>
        <v>126714.04260458324</v>
      </c>
      <c r="D316" s="11">
        <f t="shared" si="26"/>
        <v>1328.3242230999456</v>
      </c>
      <c r="E316" s="11">
        <f t="shared" si="27"/>
        <v>905.94408108466814</v>
      </c>
      <c r="F316" s="11">
        <f t="shared" si="28"/>
        <v>422.3801420152775</v>
      </c>
      <c r="G316" s="10">
        <f t="shared" si="29"/>
        <v>125808.09852349857</v>
      </c>
    </row>
    <row r="317" spans="2:7" x14ac:dyDescent="0.3">
      <c r="B317" s="9">
        <f t="shared" si="24"/>
        <v>55335</v>
      </c>
      <c r="C317" s="10">
        <f t="shared" si="25"/>
        <v>125808.09852349857</v>
      </c>
      <c r="D317" s="11">
        <f t="shared" si="26"/>
        <v>1328.3242230999456</v>
      </c>
      <c r="E317" s="11">
        <f t="shared" si="27"/>
        <v>908.96389468828363</v>
      </c>
      <c r="F317" s="11">
        <f t="shared" si="28"/>
        <v>419.36032841166195</v>
      </c>
      <c r="G317" s="10">
        <f t="shared" si="29"/>
        <v>124899.13462881029</v>
      </c>
    </row>
    <row r="318" spans="2:7" x14ac:dyDescent="0.3">
      <c r="B318" s="9">
        <f t="shared" si="24"/>
        <v>55366</v>
      </c>
      <c r="C318" s="10">
        <f t="shared" si="25"/>
        <v>124899.13462881029</v>
      </c>
      <c r="D318" s="11">
        <f t="shared" si="26"/>
        <v>1328.3242230999456</v>
      </c>
      <c r="E318" s="11">
        <f t="shared" si="27"/>
        <v>911.99377433724453</v>
      </c>
      <c r="F318" s="11">
        <f t="shared" si="28"/>
        <v>416.330448762701</v>
      </c>
      <c r="G318" s="10">
        <f t="shared" si="29"/>
        <v>123987.14085447305</v>
      </c>
    </row>
    <row r="319" spans="2:7" x14ac:dyDescent="0.3">
      <c r="B319" s="9">
        <f t="shared" si="24"/>
        <v>55397</v>
      </c>
      <c r="C319" s="10">
        <f t="shared" si="25"/>
        <v>123987.14085447305</v>
      </c>
      <c r="D319" s="11">
        <f t="shared" si="26"/>
        <v>1328.3242230999456</v>
      </c>
      <c r="E319" s="11">
        <f t="shared" si="27"/>
        <v>915.03375358503536</v>
      </c>
      <c r="F319" s="11">
        <f t="shared" si="28"/>
        <v>413.29046951491017</v>
      </c>
      <c r="G319" s="10">
        <f t="shared" si="29"/>
        <v>123072.10710088801</v>
      </c>
    </row>
    <row r="320" spans="2:7" x14ac:dyDescent="0.3">
      <c r="B320" s="9">
        <f t="shared" si="24"/>
        <v>55427</v>
      </c>
      <c r="C320" s="10">
        <f t="shared" si="25"/>
        <v>123072.10710088801</v>
      </c>
      <c r="D320" s="11">
        <f t="shared" si="26"/>
        <v>1328.3242230999456</v>
      </c>
      <c r="E320" s="11">
        <f t="shared" si="27"/>
        <v>918.0838660969855</v>
      </c>
      <c r="F320" s="11">
        <f t="shared" si="28"/>
        <v>410.24035700296008</v>
      </c>
      <c r="G320" s="10">
        <f t="shared" si="29"/>
        <v>122154.02323479102</v>
      </c>
    </row>
    <row r="321" spans="2:7" x14ac:dyDescent="0.3">
      <c r="B321" s="9">
        <f t="shared" si="24"/>
        <v>55458</v>
      </c>
      <c r="C321" s="10">
        <f t="shared" si="25"/>
        <v>122154.02323479102</v>
      </c>
      <c r="D321" s="11">
        <f t="shared" si="26"/>
        <v>1328.3242230999456</v>
      </c>
      <c r="E321" s="11">
        <f t="shared" si="27"/>
        <v>921.14414565064214</v>
      </c>
      <c r="F321" s="11">
        <f t="shared" si="28"/>
        <v>407.18007744930344</v>
      </c>
      <c r="G321" s="10">
        <f t="shared" si="29"/>
        <v>121232.87908914038</v>
      </c>
    </row>
    <row r="322" spans="2:7" x14ac:dyDescent="0.3">
      <c r="B322" s="9">
        <f t="shared" si="24"/>
        <v>55488</v>
      </c>
      <c r="C322" s="10">
        <f t="shared" si="25"/>
        <v>121232.87908914038</v>
      </c>
      <c r="D322" s="11">
        <f t="shared" si="26"/>
        <v>1328.3242230999456</v>
      </c>
      <c r="E322" s="11">
        <f t="shared" si="27"/>
        <v>924.21462613614426</v>
      </c>
      <c r="F322" s="11">
        <f t="shared" si="28"/>
        <v>404.10959696380127</v>
      </c>
      <c r="G322" s="10">
        <f t="shared" si="29"/>
        <v>120308.66446300423</v>
      </c>
    </row>
    <row r="323" spans="2:7" x14ac:dyDescent="0.3">
      <c r="B323" s="9">
        <f t="shared" si="24"/>
        <v>55519</v>
      </c>
      <c r="C323" s="10">
        <f t="shared" si="25"/>
        <v>120308.66446300423</v>
      </c>
      <c r="D323" s="11">
        <f t="shared" si="26"/>
        <v>1328.3242230999456</v>
      </c>
      <c r="E323" s="11">
        <f t="shared" si="27"/>
        <v>927.29534155659815</v>
      </c>
      <c r="F323" s="11">
        <f t="shared" si="28"/>
        <v>401.02888154334744</v>
      </c>
      <c r="G323" s="10">
        <f t="shared" si="29"/>
        <v>119381.36912144763</v>
      </c>
    </row>
    <row r="324" spans="2:7" x14ac:dyDescent="0.3">
      <c r="B324" s="9">
        <f t="shared" si="24"/>
        <v>55550</v>
      </c>
      <c r="C324" s="10">
        <f t="shared" si="25"/>
        <v>119381.36912144763</v>
      </c>
      <c r="D324" s="11">
        <f t="shared" si="26"/>
        <v>1328.3242230999456</v>
      </c>
      <c r="E324" s="11">
        <f t="shared" si="27"/>
        <v>930.38632602845348</v>
      </c>
      <c r="F324" s="11">
        <f t="shared" si="28"/>
        <v>397.9378970714921</v>
      </c>
      <c r="G324" s="10">
        <f t="shared" si="29"/>
        <v>118450.98279541917</v>
      </c>
    </row>
    <row r="325" spans="2:7" x14ac:dyDescent="0.3">
      <c r="B325" s="9">
        <f t="shared" si="24"/>
        <v>55579</v>
      </c>
      <c r="C325" s="10">
        <f t="shared" si="25"/>
        <v>118450.98279541917</v>
      </c>
      <c r="D325" s="11">
        <f t="shared" si="26"/>
        <v>1328.3242230999456</v>
      </c>
      <c r="E325" s="11">
        <f t="shared" si="27"/>
        <v>933.48761378188169</v>
      </c>
      <c r="F325" s="11">
        <f t="shared" si="28"/>
        <v>394.83660931806395</v>
      </c>
      <c r="G325" s="10">
        <f t="shared" si="29"/>
        <v>117517.49518163729</v>
      </c>
    </row>
    <row r="326" spans="2:7" x14ac:dyDescent="0.3">
      <c r="B326" s="9">
        <f t="shared" si="24"/>
        <v>55610</v>
      </c>
      <c r="C326" s="10">
        <f t="shared" si="25"/>
        <v>117517.49518163729</v>
      </c>
      <c r="D326" s="11">
        <f t="shared" si="26"/>
        <v>1328.3242230999456</v>
      </c>
      <c r="E326" s="11">
        <f t="shared" si="27"/>
        <v>936.59923916115463</v>
      </c>
      <c r="F326" s="11">
        <f t="shared" si="28"/>
        <v>391.72498393879101</v>
      </c>
      <c r="G326" s="10">
        <f t="shared" si="29"/>
        <v>116580.89594247614</v>
      </c>
    </row>
    <row r="327" spans="2:7" x14ac:dyDescent="0.3">
      <c r="B327" s="9">
        <f t="shared" si="24"/>
        <v>55640</v>
      </c>
      <c r="C327" s="10">
        <f t="shared" si="25"/>
        <v>116580.89594247614</v>
      </c>
      <c r="D327" s="11">
        <f t="shared" si="26"/>
        <v>1328.3242230999456</v>
      </c>
      <c r="E327" s="11">
        <f t="shared" si="27"/>
        <v>939.72123662502509</v>
      </c>
      <c r="F327" s="11">
        <f t="shared" si="28"/>
        <v>388.6029864749205</v>
      </c>
      <c r="G327" s="10">
        <f t="shared" si="29"/>
        <v>115641.17470585111</v>
      </c>
    </row>
    <row r="328" spans="2:7" x14ac:dyDescent="0.3">
      <c r="B328" s="9">
        <f t="shared" si="24"/>
        <v>55671</v>
      </c>
      <c r="C328" s="10">
        <f t="shared" si="25"/>
        <v>115641.17470585111</v>
      </c>
      <c r="D328" s="11">
        <f t="shared" si="26"/>
        <v>1328.3242230999456</v>
      </c>
      <c r="E328" s="11">
        <f t="shared" si="27"/>
        <v>942.85364074710856</v>
      </c>
      <c r="F328" s="11">
        <f t="shared" si="28"/>
        <v>385.47058235283708</v>
      </c>
      <c r="G328" s="10">
        <f t="shared" si="29"/>
        <v>114698.321065104</v>
      </c>
    </row>
    <row r="329" spans="2:7" x14ac:dyDescent="0.3">
      <c r="B329" s="9">
        <f t="shared" si="24"/>
        <v>55701</v>
      </c>
      <c r="C329" s="10">
        <f t="shared" si="25"/>
        <v>114698.321065104</v>
      </c>
      <c r="D329" s="11">
        <f t="shared" si="26"/>
        <v>1328.3242230999456</v>
      </c>
      <c r="E329" s="11">
        <f t="shared" si="27"/>
        <v>945.99648621626557</v>
      </c>
      <c r="F329" s="11">
        <f t="shared" si="28"/>
        <v>382.32773688368002</v>
      </c>
      <c r="G329" s="10">
        <f t="shared" si="29"/>
        <v>113752.32457888774</v>
      </c>
    </row>
    <row r="330" spans="2:7" x14ac:dyDescent="0.3">
      <c r="B330" s="9">
        <f t="shared" si="24"/>
        <v>55732</v>
      </c>
      <c r="C330" s="10">
        <f t="shared" si="25"/>
        <v>113752.32457888774</v>
      </c>
      <c r="D330" s="11">
        <f t="shared" si="26"/>
        <v>1328.3242230999456</v>
      </c>
      <c r="E330" s="11">
        <f t="shared" si="27"/>
        <v>949.14980783698638</v>
      </c>
      <c r="F330" s="11">
        <f t="shared" si="28"/>
        <v>379.17441526295914</v>
      </c>
      <c r="G330" s="10">
        <f t="shared" si="29"/>
        <v>112803.17477105075</v>
      </c>
    </row>
    <row r="331" spans="2:7" x14ac:dyDescent="0.3">
      <c r="B331" s="9">
        <f t="shared" si="24"/>
        <v>55763</v>
      </c>
      <c r="C331" s="10">
        <f t="shared" si="25"/>
        <v>112803.17477105075</v>
      </c>
      <c r="D331" s="11">
        <f t="shared" si="26"/>
        <v>1328.3242230999456</v>
      </c>
      <c r="E331" s="11">
        <f t="shared" si="27"/>
        <v>952.31364052977642</v>
      </c>
      <c r="F331" s="11">
        <f t="shared" si="28"/>
        <v>376.01058257016916</v>
      </c>
      <c r="G331" s="10">
        <f t="shared" si="29"/>
        <v>111850.86113052098</v>
      </c>
    </row>
    <row r="332" spans="2:7" x14ac:dyDescent="0.3">
      <c r="B332" s="9">
        <f t="shared" si="24"/>
        <v>55793</v>
      </c>
      <c r="C332" s="10">
        <f t="shared" si="25"/>
        <v>111850.86113052098</v>
      </c>
      <c r="D332" s="11">
        <f t="shared" si="26"/>
        <v>1328.3242230999456</v>
      </c>
      <c r="E332" s="11">
        <f t="shared" si="27"/>
        <v>955.48801933154232</v>
      </c>
      <c r="F332" s="11">
        <f t="shared" si="28"/>
        <v>372.83620376840327</v>
      </c>
      <c r="G332" s="10">
        <f t="shared" si="29"/>
        <v>110895.37311118943</v>
      </c>
    </row>
    <row r="333" spans="2:7" x14ac:dyDescent="0.3">
      <c r="B333" s="9">
        <f t="shared" ref="B333:B396" si="30">EDATE(B332,1)</f>
        <v>55824</v>
      </c>
      <c r="C333" s="10">
        <f t="shared" ref="C333:C396" si="31">G332</f>
        <v>110895.37311118943</v>
      </c>
      <c r="D333" s="11">
        <f t="shared" ref="D333:D396" si="32">IF(G332&lt;=0.1,0,-PMT($C$6,$C$7,$C$3))</f>
        <v>1328.3242230999456</v>
      </c>
      <c r="E333" s="11">
        <f t="shared" ref="E333:E396" si="33">D333-F333</f>
        <v>958.67297939598075</v>
      </c>
      <c r="F333" s="11">
        <f t="shared" ref="F333:F396" si="34">C333*$C$6</f>
        <v>369.65124370396478</v>
      </c>
      <c r="G333" s="10">
        <f t="shared" ref="G333:G396" si="35">C333-E333</f>
        <v>109936.70013179345</v>
      </c>
    </row>
    <row r="334" spans="2:7" x14ac:dyDescent="0.3">
      <c r="B334" s="9">
        <f t="shared" si="30"/>
        <v>55854</v>
      </c>
      <c r="C334" s="10">
        <f t="shared" si="31"/>
        <v>109936.70013179345</v>
      </c>
      <c r="D334" s="11">
        <f t="shared" si="32"/>
        <v>1328.3242230999456</v>
      </c>
      <c r="E334" s="11">
        <f t="shared" si="33"/>
        <v>961.86855599396745</v>
      </c>
      <c r="F334" s="11">
        <f t="shared" si="34"/>
        <v>366.45566710597819</v>
      </c>
      <c r="G334" s="10">
        <f t="shared" si="35"/>
        <v>108974.83157579949</v>
      </c>
    </row>
    <row r="335" spans="2:7" x14ac:dyDescent="0.3">
      <c r="B335" s="9">
        <f t="shared" si="30"/>
        <v>55885</v>
      </c>
      <c r="C335" s="10">
        <f t="shared" si="31"/>
        <v>108974.83157579949</v>
      </c>
      <c r="D335" s="11">
        <f t="shared" si="32"/>
        <v>1328.3242230999456</v>
      </c>
      <c r="E335" s="11">
        <f t="shared" si="33"/>
        <v>965.07478451394729</v>
      </c>
      <c r="F335" s="11">
        <f t="shared" si="34"/>
        <v>363.24943858599829</v>
      </c>
      <c r="G335" s="10">
        <f t="shared" si="35"/>
        <v>108009.75679128554</v>
      </c>
    </row>
    <row r="336" spans="2:7" x14ac:dyDescent="0.3">
      <c r="B336" s="9">
        <f t="shared" si="30"/>
        <v>55916</v>
      </c>
      <c r="C336" s="10">
        <f t="shared" si="31"/>
        <v>108009.75679128554</v>
      </c>
      <c r="D336" s="11">
        <f t="shared" si="32"/>
        <v>1328.3242230999456</v>
      </c>
      <c r="E336" s="11">
        <f t="shared" si="33"/>
        <v>968.29170046232707</v>
      </c>
      <c r="F336" s="11">
        <f t="shared" si="34"/>
        <v>360.03252263761851</v>
      </c>
      <c r="G336" s="10">
        <f t="shared" si="35"/>
        <v>107041.46509082321</v>
      </c>
    </row>
    <row r="337" spans="2:7" x14ac:dyDescent="0.3">
      <c r="B337" s="9">
        <f t="shared" si="30"/>
        <v>55944</v>
      </c>
      <c r="C337" s="10">
        <f t="shared" si="31"/>
        <v>107041.46509082321</v>
      </c>
      <c r="D337" s="11">
        <f t="shared" si="32"/>
        <v>1328.3242230999456</v>
      </c>
      <c r="E337" s="11">
        <f t="shared" si="33"/>
        <v>971.51933946386816</v>
      </c>
      <c r="F337" s="11">
        <f t="shared" si="34"/>
        <v>356.80488363607742</v>
      </c>
      <c r="G337" s="10">
        <f t="shared" si="35"/>
        <v>106069.94575135935</v>
      </c>
    </row>
    <row r="338" spans="2:7" x14ac:dyDescent="0.3">
      <c r="B338" s="9">
        <f t="shared" si="30"/>
        <v>55975</v>
      </c>
      <c r="C338" s="10">
        <f t="shared" si="31"/>
        <v>106069.94575135935</v>
      </c>
      <c r="D338" s="11">
        <f t="shared" si="32"/>
        <v>1328.3242230999456</v>
      </c>
      <c r="E338" s="11">
        <f t="shared" si="33"/>
        <v>974.75773726208104</v>
      </c>
      <c r="F338" s="11">
        <f t="shared" si="34"/>
        <v>353.56648583786455</v>
      </c>
      <c r="G338" s="10">
        <f t="shared" si="35"/>
        <v>105095.18801409726</v>
      </c>
    </row>
    <row r="339" spans="2:7" x14ac:dyDescent="0.3">
      <c r="B339" s="9">
        <f t="shared" si="30"/>
        <v>56005</v>
      </c>
      <c r="C339" s="10">
        <f t="shared" si="31"/>
        <v>105095.18801409726</v>
      </c>
      <c r="D339" s="11">
        <f t="shared" si="32"/>
        <v>1328.3242230999456</v>
      </c>
      <c r="E339" s="11">
        <f t="shared" si="33"/>
        <v>978.00692971962133</v>
      </c>
      <c r="F339" s="11">
        <f t="shared" si="34"/>
        <v>350.31729338032426</v>
      </c>
      <c r="G339" s="10">
        <f t="shared" si="35"/>
        <v>104117.18108437765</v>
      </c>
    </row>
    <row r="340" spans="2:7" x14ac:dyDescent="0.3">
      <c r="B340" s="9">
        <f t="shared" si="30"/>
        <v>56036</v>
      </c>
      <c r="C340" s="10">
        <f t="shared" si="31"/>
        <v>104117.18108437765</v>
      </c>
      <c r="D340" s="11">
        <f t="shared" si="32"/>
        <v>1328.3242230999456</v>
      </c>
      <c r="E340" s="11">
        <f t="shared" si="33"/>
        <v>981.26695281868672</v>
      </c>
      <c r="F340" s="11">
        <f t="shared" si="34"/>
        <v>347.05727028125887</v>
      </c>
      <c r="G340" s="10">
        <f t="shared" si="35"/>
        <v>103135.91413155897</v>
      </c>
    </row>
    <row r="341" spans="2:7" x14ac:dyDescent="0.3">
      <c r="B341" s="9">
        <f t="shared" si="30"/>
        <v>56066</v>
      </c>
      <c r="C341" s="10">
        <f t="shared" si="31"/>
        <v>103135.91413155897</v>
      </c>
      <c r="D341" s="11">
        <f t="shared" si="32"/>
        <v>1328.3242230999456</v>
      </c>
      <c r="E341" s="11">
        <f t="shared" si="33"/>
        <v>984.53784266141565</v>
      </c>
      <c r="F341" s="11">
        <f t="shared" si="34"/>
        <v>343.78638043852993</v>
      </c>
      <c r="G341" s="10">
        <f t="shared" si="35"/>
        <v>102151.37628889755</v>
      </c>
    </row>
    <row r="342" spans="2:7" x14ac:dyDescent="0.3">
      <c r="B342" s="9">
        <f t="shared" si="30"/>
        <v>56097</v>
      </c>
      <c r="C342" s="10">
        <f t="shared" si="31"/>
        <v>102151.37628889755</v>
      </c>
      <c r="D342" s="11">
        <f t="shared" si="32"/>
        <v>1328.3242230999456</v>
      </c>
      <c r="E342" s="11">
        <f t="shared" si="33"/>
        <v>987.81963547028704</v>
      </c>
      <c r="F342" s="11">
        <f t="shared" si="34"/>
        <v>340.50458762965849</v>
      </c>
      <c r="G342" s="10">
        <f t="shared" si="35"/>
        <v>101163.55665342727</v>
      </c>
    </row>
    <row r="343" spans="2:7" x14ac:dyDescent="0.3">
      <c r="B343" s="9">
        <f t="shared" si="30"/>
        <v>56128</v>
      </c>
      <c r="C343" s="10">
        <f t="shared" si="31"/>
        <v>101163.55665342727</v>
      </c>
      <c r="D343" s="11">
        <f t="shared" si="32"/>
        <v>1328.3242230999456</v>
      </c>
      <c r="E343" s="11">
        <f t="shared" si="33"/>
        <v>991.11236758852135</v>
      </c>
      <c r="F343" s="11">
        <f t="shared" si="34"/>
        <v>337.21185551142423</v>
      </c>
      <c r="G343" s="10">
        <f t="shared" si="35"/>
        <v>100172.44428583875</v>
      </c>
    </row>
    <row r="344" spans="2:7" x14ac:dyDescent="0.3">
      <c r="B344" s="9">
        <f t="shared" si="30"/>
        <v>56158</v>
      </c>
      <c r="C344" s="10">
        <f t="shared" si="31"/>
        <v>100172.44428583875</v>
      </c>
      <c r="D344" s="11">
        <f t="shared" si="32"/>
        <v>1328.3242230999456</v>
      </c>
      <c r="E344" s="11">
        <f t="shared" si="33"/>
        <v>994.41607548048307</v>
      </c>
      <c r="F344" s="11">
        <f t="shared" si="34"/>
        <v>333.90814761946251</v>
      </c>
      <c r="G344" s="10">
        <f t="shared" si="35"/>
        <v>99178.028210358272</v>
      </c>
    </row>
    <row r="345" spans="2:7" x14ac:dyDescent="0.3">
      <c r="B345" s="9">
        <f t="shared" si="30"/>
        <v>56189</v>
      </c>
      <c r="C345" s="10">
        <f t="shared" si="31"/>
        <v>99178.028210358272</v>
      </c>
      <c r="D345" s="11">
        <f t="shared" si="32"/>
        <v>1328.3242230999456</v>
      </c>
      <c r="E345" s="11">
        <f t="shared" si="33"/>
        <v>997.73079573208463</v>
      </c>
      <c r="F345" s="11">
        <f t="shared" si="34"/>
        <v>330.59342736786095</v>
      </c>
      <c r="G345" s="10">
        <f t="shared" si="35"/>
        <v>98180.297414626184</v>
      </c>
    </row>
    <row r="346" spans="2:7" x14ac:dyDescent="0.3">
      <c r="B346" s="9">
        <f t="shared" si="30"/>
        <v>56219</v>
      </c>
      <c r="C346" s="10">
        <f t="shared" si="31"/>
        <v>98180.297414626184</v>
      </c>
      <c r="D346" s="11">
        <f t="shared" si="32"/>
        <v>1328.3242230999456</v>
      </c>
      <c r="E346" s="11">
        <f t="shared" si="33"/>
        <v>1001.0565650511917</v>
      </c>
      <c r="F346" s="11">
        <f t="shared" si="34"/>
        <v>327.26765804875396</v>
      </c>
      <c r="G346" s="10">
        <f t="shared" si="35"/>
        <v>97179.240849574999</v>
      </c>
    </row>
    <row r="347" spans="2:7" x14ac:dyDescent="0.3">
      <c r="B347" s="9">
        <f t="shared" si="30"/>
        <v>56250</v>
      </c>
      <c r="C347" s="10">
        <f t="shared" si="31"/>
        <v>97179.240849574999</v>
      </c>
      <c r="D347" s="11">
        <f t="shared" si="32"/>
        <v>1328.3242230999456</v>
      </c>
      <c r="E347" s="11">
        <f t="shared" si="33"/>
        <v>1004.3934202680289</v>
      </c>
      <c r="F347" s="11">
        <f t="shared" si="34"/>
        <v>323.93080283191671</v>
      </c>
      <c r="G347" s="10">
        <f t="shared" si="35"/>
        <v>96174.847429306974</v>
      </c>
    </row>
    <row r="348" spans="2:7" x14ac:dyDescent="0.3">
      <c r="B348" s="9">
        <f t="shared" si="30"/>
        <v>56281</v>
      </c>
      <c r="C348" s="10">
        <f t="shared" si="31"/>
        <v>96174.847429306974</v>
      </c>
      <c r="D348" s="11">
        <f t="shared" si="32"/>
        <v>1328.3242230999456</v>
      </c>
      <c r="E348" s="11">
        <f t="shared" si="33"/>
        <v>1007.741398335589</v>
      </c>
      <c r="F348" s="11">
        <f t="shared" si="34"/>
        <v>320.58282476435659</v>
      </c>
      <c r="G348" s="10">
        <f t="shared" si="35"/>
        <v>95167.106030971379</v>
      </c>
    </row>
    <row r="349" spans="2:7" x14ac:dyDescent="0.3">
      <c r="B349" s="9">
        <f t="shared" si="30"/>
        <v>56309</v>
      </c>
      <c r="C349" s="10">
        <f t="shared" si="31"/>
        <v>95167.106030971379</v>
      </c>
      <c r="D349" s="11">
        <f t="shared" si="32"/>
        <v>1328.3242230999456</v>
      </c>
      <c r="E349" s="11">
        <f t="shared" si="33"/>
        <v>1011.100536330041</v>
      </c>
      <c r="F349" s="11">
        <f t="shared" si="34"/>
        <v>317.22368676990465</v>
      </c>
      <c r="G349" s="10">
        <f t="shared" si="35"/>
        <v>94156.005494641344</v>
      </c>
    </row>
    <row r="350" spans="2:7" x14ac:dyDescent="0.3">
      <c r="B350" s="9">
        <f t="shared" si="30"/>
        <v>56340</v>
      </c>
      <c r="C350" s="10">
        <f t="shared" si="31"/>
        <v>94156.005494641344</v>
      </c>
      <c r="D350" s="11">
        <f t="shared" si="32"/>
        <v>1328.3242230999456</v>
      </c>
      <c r="E350" s="11">
        <f t="shared" si="33"/>
        <v>1014.4708714511411</v>
      </c>
      <c r="F350" s="11">
        <f t="shared" si="34"/>
        <v>313.85335164880451</v>
      </c>
      <c r="G350" s="10">
        <f t="shared" si="35"/>
        <v>93141.534623190208</v>
      </c>
    </row>
    <row r="351" spans="2:7" x14ac:dyDescent="0.3">
      <c r="B351" s="9">
        <f t="shared" si="30"/>
        <v>56370</v>
      </c>
      <c r="C351" s="10">
        <f t="shared" si="31"/>
        <v>93141.534623190208</v>
      </c>
      <c r="D351" s="11">
        <f t="shared" si="32"/>
        <v>1328.3242230999456</v>
      </c>
      <c r="E351" s="11">
        <f t="shared" si="33"/>
        <v>1017.8524410226448</v>
      </c>
      <c r="F351" s="11">
        <f t="shared" si="34"/>
        <v>310.4717820773007</v>
      </c>
      <c r="G351" s="10">
        <f t="shared" si="35"/>
        <v>92123.682182167569</v>
      </c>
    </row>
    <row r="352" spans="2:7" x14ac:dyDescent="0.3">
      <c r="B352" s="9">
        <f t="shared" si="30"/>
        <v>56401</v>
      </c>
      <c r="C352" s="10">
        <f t="shared" si="31"/>
        <v>92123.682182167569</v>
      </c>
      <c r="D352" s="11">
        <f t="shared" si="32"/>
        <v>1328.3242230999456</v>
      </c>
      <c r="E352" s="11">
        <f t="shared" si="33"/>
        <v>1021.2452824927203</v>
      </c>
      <c r="F352" s="11">
        <f t="shared" si="34"/>
        <v>307.07894060722526</v>
      </c>
      <c r="G352" s="10">
        <f t="shared" si="35"/>
        <v>91102.436899674853</v>
      </c>
    </row>
    <row r="353" spans="2:7" x14ac:dyDescent="0.3">
      <c r="B353" s="9">
        <f t="shared" si="30"/>
        <v>56431</v>
      </c>
      <c r="C353" s="10">
        <f t="shared" si="31"/>
        <v>91102.436899674853</v>
      </c>
      <c r="D353" s="11">
        <f t="shared" si="32"/>
        <v>1328.3242230999456</v>
      </c>
      <c r="E353" s="11">
        <f t="shared" si="33"/>
        <v>1024.6494334343627</v>
      </c>
      <c r="F353" s="11">
        <f t="shared" si="34"/>
        <v>303.67478966558286</v>
      </c>
      <c r="G353" s="10">
        <f t="shared" si="35"/>
        <v>90077.787466240494</v>
      </c>
    </row>
    <row r="354" spans="2:7" x14ac:dyDescent="0.3">
      <c r="B354" s="9">
        <f t="shared" si="30"/>
        <v>56462</v>
      </c>
      <c r="C354" s="10">
        <f t="shared" si="31"/>
        <v>90077.787466240494</v>
      </c>
      <c r="D354" s="11">
        <f t="shared" si="32"/>
        <v>1328.3242230999456</v>
      </c>
      <c r="E354" s="11">
        <f t="shared" si="33"/>
        <v>1028.0649315458106</v>
      </c>
      <c r="F354" s="11">
        <f t="shared" si="34"/>
        <v>300.25929155413502</v>
      </c>
      <c r="G354" s="10">
        <f t="shared" si="35"/>
        <v>89049.72253469468</v>
      </c>
    </row>
    <row r="355" spans="2:7" x14ac:dyDescent="0.3">
      <c r="B355" s="9">
        <f t="shared" si="30"/>
        <v>56493</v>
      </c>
      <c r="C355" s="10">
        <f t="shared" si="31"/>
        <v>89049.72253469468</v>
      </c>
      <c r="D355" s="11">
        <f t="shared" si="32"/>
        <v>1328.3242230999456</v>
      </c>
      <c r="E355" s="11">
        <f t="shared" si="33"/>
        <v>1031.4918146509633</v>
      </c>
      <c r="F355" s="11">
        <f t="shared" si="34"/>
        <v>296.83240844898228</v>
      </c>
      <c r="G355" s="10">
        <f t="shared" si="35"/>
        <v>88018.230720043721</v>
      </c>
    </row>
    <row r="356" spans="2:7" x14ac:dyDescent="0.3">
      <c r="B356" s="9">
        <f t="shared" si="30"/>
        <v>56523</v>
      </c>
      <c r="C356" s="10">
        <f t="shared" si="31"/>
        <v>88018.230720043721</v>
      </c>
      <c r="D356" s="11">
        <f t="shared" si="32"/>
        <v>1328.3242230999456</v>
      </c>
      <c r="E356" s="11">
        <f t="shared" si="33"/>
        <v>1034.9301206997998</v>
      </c>
      <c r="F356" s="11">
        <f t="shared" si="34"/>
        <v>293.39410240014575</v>
      </c>
      <c r="G356" s="10">
        <f t="shared" si="35"/>
        <v>86983.300599343915</v>
      </c>
    </row>
    <row r="357" spans="2:7" x14ac:dyDescent="0.3">
      <c r="B357" s="9">
        <f t="shared" si="30"/>
        <v>56554</v>
      </c>
      <c r="C357" s="10">
        <f t="shared" si="31"/>
        <v>86983.300599343915</v>
      </c>
      <c r="D357" s="11">
        <f t="shared" si="32"/>
        <v>1328.3242230999456</v>
      </c>
      <c r="E357" s="11">
        <f t="shared" si="33"/>
        <v>1038.3798877687991</v>
      </c>
      <c r="F357" s="11">
        <f t="shared" si="34"/>
        <v>289.94433533114642</v>
      </c>
      <c r="G357" s="10">
        <f t="shared" si="35"/>
        <v>85944.92071157512</v>
      </c>
    </row>
    <row r="358" spans="2:7" x14ac:dyDescent="0.3">
      <c r="B358" s="9">
        <f t="shared" si="30"/>
        <v>56584</v>
      </c>
      <c r="C358" s="10">
        <f t="shared" si="31"/>
        <v>85944.92071157512</v>
      </c>
      <c r="D358" s="11">
        <f t="shared" si="32"/>
        <v>1328.3242230999456</v>
      </c>
      <c r="E358" s="11">
        <f t="shared" si="33"/>
        <v>1041.8411540613617</v>
      </c>
      <c r="F358" s="11">
        <f t="shared" si="34"/>
        <v>286.48306903858378</v>
      </c>
      <c r="G358" s="10">
        <f t="shared" si="35"/>
        <v>84903.07955751376</v>
      </c>
    </row>
    <row r="359" spans="2:7" x14ac:dyDescent="0.3">
      <c r="B359" s="9">
        <f t="shared" si="30"/>
        <v>56615</v>
      </c>
      <c r="C359" s="10">
        <f t="shared" si="31"/>
        <v>84903.07955751376</v>
      </c>
      <c r="D359" s="11">
        <f t="shared" si="32"/>
        <v>1328.3242230999456</v>
      </c>
      <c r="E359" s="11">
        <f t="shared" si="33"/>
        <v>1045.3139579082331</v>
      </c>
      <c r="F359" s="11">
        <f t="shared" si="34"/>
        <v>283.01026519171256</v>
      </c>
      <c r="G359" s="10">
        <f t="shared" si="35"/>
        <v>83857.765599605525</v>
      </c>
    </row>
    <row r="360" spans="2:7" x14ac:dyDescent="0.3">
      <c r="B360" s="9">
        <f t="shared" si="30"/>
        <v>56646</v>
      </c>
      <c r="C360" s="10">
        <f t="shared" si="31"/>
        <v>83857.765599605525</v>
      </c>
      <c r="D360" s="11">
        <f t="shared" si="32"/>
        <v>1328.3242230999456</v>
      </c>
      <c r="E360" s="11">
        <f t="shared" si="33"/>
        <v>1048.798337767927</v>
      </c>
      <c r="F360" s="11">
        <f t="shared" si="34"/>
        <v>279.52588533201845</v>
      </c>
      <c r="G360" s="10">
        <f t="shared" si="35"/>
        <v>82808.967261837592</v>
      </c>
    </row>
    <row r="361" spans="2:7" x14ac:dyDescent="0.3">
      <c r="B361" s="9">
        <f t="shared" si="30"/>
        <v>56674</v>
      </c>
      <c r="C361" s="10">
        <f t="shared" si="31"/>
        <v>82808.967261837592</v>
      </c>
      <c r="D361" s="11">
        <f t="shared" si="32"/>
        <v>1328.3242230999456</v>
      </c>
      <c r="E361" s="11">
        <f t="shared" si="33"/>
        <v>1052.2943322271535</v>
      </c>
      <c r="F361" s="11">
        <f t="shared" si="34"/>
        <v>276.02989087279201</v>
      </c>
      <c r="G361" s="10">
        <f t="shared" si="35"/>
        <v>81756.672929610431</v>
      </c>
    </row>
    <row r="362" spans="2:7" x14ac:dyDescent="0.3">
      <c r="B362" s="9">
        <f t="shared" si="30"/>
        <v>56705</v>
      </c>
      <c r="C362" s="10">
        <f t="shared" si="31"/>
        <v>81756.672929610431</v>
      </c>
      <c r="D362" s="11">
        <f t="shared" si="32"/>
        <v>1328.3242230999456</v>
      </c>
      <c r="E362" s="11">
        <f t="shared" si="33"/>
        <v>1055.8019800012441</v>
      </c>
      <c r="F362" s="11">
        <f t="shared" si="34"/>
        <v>272.52224309870144</v>
      </c>
      <c r="G362" s="10">
        <f t="shared" si="35"/>
        <v>80700.870949609191</v>
      </c>
    </row>
    <row r="363" spans="2:7" x14ac:dyDescent="0.3">
      <c r="B363" s="9">
        <f t="shared" si="30"/>
        <v>56735</v>
      </c>
      <c r="C363" s="10">
        <f t="shared" si="31"/>
        <v>80700.870949609191</v>
      </c>
      <c r="D363" s="11">
        <f t="shared" si="32"/>
        <v>1328.3242230999456</v>
      </c>
      <c r="E363" s="11">
        <f t="shared" si="33"/>
        <v>1059.3213199345817</v>
      </c>
      <c r="F363" s="11">
        <f t="shared" si="34"/>
        <v>269.00290316536399</v>
      </c>
      <c r="G363" s="10">
        <f t="shared" si="35"/>
        <v>79641.549629674613</v>
      </c>
    </row>
    <row r="364" spans="2:7" x14ac:dyDescent="0.3">
      <c r="B364" s="9">
        <f t="shared" si="30"/>
        <v>56766</v>
      </c>
      <c r="C364" s="10">
        <f t="shared" si="31"/>
        <v>79641.549629674613</v>
      </c>
      <c r="D364" s="11">
        <f t="shared" si="32"/>
        <v>1328.3242230999456</v>
      </c>
      <c r="E364" s="11">
        <f t="shared" si="33"/>
        <v>1062.8523910010301</v>
      </c>
      <c r="F364" s="11">
        <f t="shared" si="34"/>
        <v>265.4718320989154</v>
      </c>
      <c r="G364" s="10">
        <f t="shared" si="35"/>
        <v>78578.697238673587</v>
      </c>
    </row>
    <row r="365" spans="2:7" x14ac:dyDescent="0.3">
      <c r="B365" s="9">
        <f t="shared" si="30"/>
        <v>56796</v>
      </c>
      <c r="C365" s="10">
        <f t="shared" si="31"/>
        <v>78578.697238673587</v>
      </c>
      <c r="D365" s="11">
        <f t="shared" si="32"/>
        <v>1328.3242230999456</v>
      </c>
      <c r="E365" s="11">
        <f t="shared" si="33"/>
        <v>1066.395232304367</v>
      </c>
      <c r="F365" s="11">
        <f t="shared" si="34"/>
        <v>261.92899079557861</v>
      </c>
      <c r="G365" s="10">
        <f t="shared" si="35"/>
        <v>77512.302006369224</v>
      </c>
    </row>
    <row r="366" spans="2:7" x14ac:dyDescent="0.3">
      <c r="B366" s="9">
        <f t="shared" si="30"/>
        <v>56827</v>
      </c>
      <c r="C366" s="10">
        <f t="shared" si="31"/>
        <v>77512.302006369224</v>
      </c>
      <c r="D366" s="11">
        <f t="shared" si="32"/>
        <v>1328.3242230999456</v>
      </c>
      <c r="E366" s="11">
        <f t="shared" si="33"/>
        <v>1069.9498830787147</v>
      </c>
      <c r="F366" s="11">
        <f t="shared" si="34"/>
        <v>258.37434002123075</v>
      </c>
      <c r="G366" s="10">
        <f t="shared" si="35"/>
        <v>76442.352123290504</v>
      </c>
    </row>
    <row r="367" spans="2:7" x14ac:dyDescent="0.3">
      <c r="B367" s="9">
        <f t="shared" si="30"/>
        <v>56858</v>
      </c>
      <c r="C367" s="10">
        <f t="shared" si="31"/>
        <v>76442.352123290504</v>
      </c>
      <c r="D367" s="11">
        <f t="shared" si="32"/>
        <v>1328.3242230999456</v>
      </c>
      <c r="E367" s="11">
        <f t="shared" si="33"/>
        <v>1073.5163826889773</v>
      </c>
      <c r="F367" s="11">
        <f t="shared" si="34"/>
        <v>254.80784041096837</v>
      </c>
      <c r="G367" s="10">
        <f t="shared" si="35"/>
        <v>75368.835740601528</v>
      </c>
    </row>
    <row r="368" spans="2:7" x14ac:dyDescent="0.3">
      <c r="B368" s="9">
        <f t="shared" si="30"/>
        <v>56888</v>
      </c>
      <c r="C368" s="10">
        <f t="shared" si="31"/>
        <v>75368.835740601528</v>
      </c>
      <c r="D368" s="11">
        <f t="shared" si="32"/>
        <v>1328.3242230999456</v>
      </c>
      <c r="E368" s="11">
        <f t="shared" si="33"/>
        <v>1077.0947706312738</v>
      </c>
      <c r="F368" s="11">
        <f t="shared" si="34"/>
        <v>251.22945246867178</v>
      </c>
      <c r="G368" s="10">
        <f t="shared" si="35"/>
        <v>74291.740969970255</v>
      </c>
    </row>
    <row r="369" spans="2:7" x14ac:dyDescent="0.3">
      <c r="B369" s="9">
        <f t="shared" si="30"/>
        <v>56919</v>
      </c>
      <c r="C369" s="10">
        <f t="shared" si="31"/>
        <v>74291.740969970255</v>
      </c>
      <c r="D369" s="11">
        <f t="shared" si="32"/>
        <v>1328.3242230999456</v>
      </c>
      <c r="E369" s="11">
        <f t="shared" si="33"/>
        <v>1080.6850865333781</v>
      </c>
      <c r="F369" s="11">
        <f t="shared" si="34"/>
        <v>247.63913656656754</v>
      </c>
      <c r="G369" s="10">
        <f t="shared" si="35"/>
        <v>73211.055883436871</v>
      </c>
    </row>
    <row r="370" spans="2:7" x14ac:dyDescent="0.3">
      <c r="B370" s="9">
        <f t="shared" si="30"/>
        <v>56949</v>
      </c>
      <c r="C370" s="10">
        <f t="shared" si="31"/>
        <v>73211.055883436871</v>
      </c>
      <c r="D370" s="11">
        <f t="shared" si="32"/>
        <v>1328.3242230999456</v>
      </c>
      <c r="E370" s="11">
        <f t="shared" si="33"/>
        <v>1084.2873701551559</v>
      </c>
      <c r="F370" s="11">
        <f t="shared" si="34"/>
        <v>244.03685294478959</v>
      </c>
      <c r="G370" s="10">
        <f t="shared" si="35"/>
        <v>72126.768513281713</v>
      </c>
    </row>
    <row r="371" spans="2:7" x14ac:dyDescent="0.3">
      <c r="B371" s="9">
        <f t="shared" si="30"/>
        <v>56980</v>
      </c>
      <c r="C371" s="10">
        <f t="shared" si="31"/>
        <v>72126.768513281713</v>
      </c>
      <c r="D371" s="11">
        <f t="shared" si="32"/>
        <v>1328.3242230999456</v>
      </c>
      <c r="E371" s="11">
        <f t="shared" si="33"/>
        <v>1087.9016613890064</v>
      </c>
      <c r="F371" s="11">
        <f t="shared" si="34"/>
        <v>240.42256171093905</v>
      </c>
      <c r="G371" s="10">
        <f t="shared" si="35"/>
        <v>71038.866851892701</v>
      </c>
    </row>
    <row r="372" spans="2:7" x14ac:dyDescent="0.3">
      <c r="B372" s="9">
        <f t="shared" si="30"/>
        <v>57011</v>
      </c>
      <c r="C372" s="10">
        <f t="shared" si="31"/>
        <v>71038.866851892701</v>
      </c>
      <c r="D372" s="11">
        <f t="shared" si="32"/>
        <v>1328.3242230999456</v>
      </c>
      <c r="E372" s="11">
        <f t="shared" si="33"/>
        <v>1091.5280002603033</v>
      </c>
      <c r="F372" s="11">
        <f t="shared" si="34"/>
        <v>236.79622283964235</v>
      </c>
      <c r="G372" s="10">
        <f t="shared" si="35"/>
        <v>69947.33885163239</v>
      </c>
    </row>
    <row r="373" spans="2:7" x14ac:dyDescent="0.3">
      <c r="B373" s="9">
        <f t="shared" si="30"/>
        <v>57040</v>
      </c>
      <c r="C373" s="10">
        <f t="shared" si="31"/>
        <v>69947.33885163239</v>
      </c>
      <c r="D373" s="11">
        <f t="shared" si="32"/>
        <v>1328.3242230999456</v>
      </c>
      <c r="E373" s="11">
        <f t="shared" si="33"/>
        <v>1095.1664269278376</v>
      </c>
      <c r="F373" s="11">
        <f t="shared" si="34"/>
        <v>233.15779617210799</v>
      </c>
      <c r="G373" s="10">
        <f t="shared" si="35"/>
        <v>68852.172424704549</v>
      </c>
    </row>
    <row r="374" spans="2:7" x14ac:dyDescent="0.3">
      <c r="B374" s="9">
        <f t="shared" si="30"/>
        <v>57071</v>
      </c>
      <c r="C374" s="10">
        <f t="shared" si="31"/>
        <v>68852.172424704549</v>
      </c>
      <c r="D374" s="11">
        <f t="shared" si="32"/>
        <v>1328.3242230999456</v>
      </c>
      <c r="E374" s="11">
        <f t="shared" si="33"/>
        <v>1098.8169816842637</v>
      </c>
      <c r="F374" s="11">
        <f t="shared" si="34"/>
        <v>229.50724141568185</v>
      </c>
      <c r="G374" s="10">
        <f t="shared" si="35"/>
        <v>67753.355443020293</v>
      </c>
    </row>
    <row r="375" spans="2:7" x14ac:dyDescent="0.3">
      <c r="B375" s="9">
        <f t="shared" si="30"/>
        <v>57101</v>
      </c>
      <c r="C375" s="10">
        <f t="shared" si="31"/>
        <v>67753.355443020293</v>
      </c>
      <c r="D375" s="11">
        <f t="shared" si="32"/>
        <v>1328.3242230999456</v>
      </c>
      <c r="E375" s="11">
        <f t="shared" si="33"/>
        <v>1102.4797049565445</v>
      </c>
      <c r="F375" s="11">
        <f t="shared" si="34"/>
        <v>225.84451814340099</v>
      </c>
      <c r="G375" s="10">
        <f t="shared" si="35"/>
        <v>66650.875738063754</v>
      </c>
    </row>
    <row r="376" spans="2:7" x14ac:dyDescent="0.3">
      <c r="B376" s="9">
        <f t="shared" si="30"/>
        <v>57132</v>
      </c>
      <c r="C376" s="10">
        <f t="shared" si="31"/>
        <v>66650.875738063754</v>
      </c>
      <c r="D376" s="11">
        <f t="shared" si="32"/>
        <v>1328.3242230999456</v>
      </c>
      <c r="E376" s="11">
        <f t="shared" si="33"/>
        <v>1106.1546373063998</v>
      </c>
      <c r="F376" s="11">
        <f t="shared" si="34"/>
        <v>222.16958579354585</v>
      </c>
      <c r="G376" s="10">
        <f t="shared" si="35"/>
        <v>65544.72110075735</v>
      </c>
    </row>
    <row r="377" spans="2:7" x14ac:dyDescent="0.3">
      <c r="B377" s="9">
        <f t="shared" si="30"/>
        <v>57162</v>
      </c>
      <c r="C377" s="10">
        <f t="shared" si="31"/>
        <v>65544.72110075735</v>
      </c>
      <c r="D377" s="11">
        <f t="shared" si="32"/>
        <v>1328.3242230999456</v>
      </c>
      <c r="E377" s="11">
        <f t="shared" si="33"/>
        <v>1109.8418194307544</v>
      </c>
      <c r="F377" s="11">
        <f t="shared" si="34"/>
        <v>218.48240366919117</v>
      </c>
      <c r="G377" s="10">
        <f t="shared" si="35"/>
        <v>64434.879281326597</v>
      </c>
    </row>
    <row r="378" spans="2:7" x14ac:dyDescent="0.3">
      <c r="B378" s="9">
        <f t="shared" si="30"/>
        <v>57193</v>
      </c>
      <c r="C378" s="10">
        <f t="shared" si="31"/>
        <v>64434.879281326597</v>
      </c>
      <c r="D378" s="11">
        <f t="shared" si="32"/>
        <v>1328.3242230999456</v>
      </c>
      <c r="E378" s="11">
        <f t="shared" si="33"/>
        <v>1113.5412921621903</v>
      </c>
      <c r="F378" s="11">
        <f t="shared" si="34"/>
        <v>214.78293093775534</v>
      </c>
      <c r="G378" s="10">
        <f t="shared" si="35"/>
        <v>63321.337989164407</v>
      </c>
    </row>
    <row r="379" spans="2:7" x14ac:dyDescent="0.3">
      <c r="B379" s="9">
        <f t="shared" si="30"/>
        <v>57224</v>
      </c>
      <c r="C379" s="10">
        <f t="shared" si="31"/>
        <v>63321.337989164407</v>
      </c>
      <c r="D379" s="11">
        <f t="shared" si="32"/>
        <v>1328.3242230999456</v>
      </c>
      <c r="E379" s="11">
        <f t="shared" si="33"/>
        <v>1117.2530964693976</v>
      </c>
      <c r="F379" s="11">
        <f t="shared" si="34"/>
        <v>211.07112663054804</v>
      </c>
      <c r="G379" s="10">
        <f t="shared" si="35"/>
        <v>62204.084892695013</v>
      </c>
    </row>
    <row r="380" spans="2:7" x14ac:dyDescent="0.3">
      <c r="B380" s="9">
        <f t="shared" si="30"/>
        <v>57254</v>
      </c>
      <c r="C380" s="10">
        <f t="shared" si="31"/>
        <v>62204.084892695013</v>
      </c>
      <c r="D380" s="11">
        <f t="shared" si="32"/>
        <v>1328.3242230999456</v>
      </c>
      <c r="E380" s="11">
        <f t="shared" si="33"/>
        <v>1120.9772734576288</v>
      </c>
      <c r="F380" s="11">
        <f t="shared" si="34"/>
        <v>207.34694964231673</v>
      </c>
      <c r="G380" s="10">
        <f t="shared" si="35"/>
        <v>61083.107619237388</v>
      </c>
    </row>
    <row r="381" spans="2:7" x14ac:dyDescent="0.3">
      <c r="B381" s="9">
        <f t="shared" si="30"/>
        <v>57285</v>
      </c>
      <c r="C381" s="10">
        <f t="shared" si="31"/>
        <v>61083.107619237388</v>
      </c>
      <c r="D381" s="11">
        <f t="shared" si="32"/>
        <v>1328.3242230999456</v>
      </c>
      <c r="E381" s="11">
        <f t="shared" si="33"/>
        <v>1124.7138643691542</v>
      </c>
      <c r="F381" s="11">
        <f t="shared" si="34"/>
        <v>203.61035873079132</v>
      </c>
      <c r="G381" s="10">
        <f t="shared" si="35"/>
        <v>59958.39375486823</v>
      </c>
    </row>
    <row r="382" spans="2:7" x14ac:dyDescent="0.3">
      <c r="B382" s="9">
        <f t="shared" si="30"/>
        <v>57315</v>
      </c>
      <c r="C382" s="10">
        <f t="shared" si="31"/>
        <v>59958.39375486823</v>
      </c>
      <c r="D382" s="11">
        <f t="shared" si="32"/>
        <v>1328.3242230999456</v>
      </c>
      <c r="E382" s="11">
        <f t="shared" si="33"/>
        <v>1128.4629105837182</v>
      </c>
      <c r="F382" s="11">
        <f t="shared" si="34"/>
        <v>199.86131251622746</v>
      </c>
      <c r="G382" s="10">
        <f t="shared" si="35"/>
        <v>58829.930844284514</v>
      </c>
    </row>
    <row r="383" spans="2:7" x14ac:dyDescent="0.3">
      <c r="B383" s="9">
        <f t="shared" si="30"/>
        <v>57346</v>
      </c>
      <c r="C383" s="10">
        <f t="shared" si="31"/>
        <v>58829.930844284514</v>
      </c>
      <c r="D383" s="11">
        <f t="shared" si="32"/>
        <v>1328.3242230999456</v>
      </c>
      <c r="E383" s="11">
        <f t="shared" si="33"/>
        <v>1132.2244536189971</v>
      </c>
      <c r="F383" s="11">
        <f t="shared" si="34"/>
        <v>196.0997694809484</v>
      </c>
      <c r="G383" s="10">
        <f t="shared" si="35"/>
        <v>57697.706390665517</v>
      </c>
    </row>
    <row r="384" spans="2:7" x14ac:dyDescent="0.3">
      <c r="B384" s="9">
        <f t="shared" si="30"/>
        <v>57377</v>
      </c>
      <c r="C384" s="10">
        <f t="shared" si="31"/>
        <v>57697.706390665517</v>
      </c>
      <c r="D384" s="11">
        <f t="shared" si="32"/>
        <v>1328.3242230999456</v>
      </c>
      <c r="E384" s="11">
        <f t="shared" si="33"/>
        <v>1135.9985351310606</v>
      </c>
      <c r="F384" s="11">
        <f t="shared" si="34"/>
        <v>192.32568796888506</v>
      </c>
      <c r="G384" s="10">
        <f t="shared" si="35"/>
        <v>56561.707855534456</v>
      </c>
    </row>
    <row r="385" spans="2:7" x14ac:dyDescent="0.3">
      <c r="B385" s="9">
        <f t="shared" si="30"/>
        <v>57405</v>
      </c>
      <c r="C385" s="10">
        <f t="shared" si="31"/>
        <v>56561.707855534456</v>
      </c>
      <c r="D385" s="11">
        <f t="shared" si="32"/>
        <v>1328.3242230999456</v>
      </c>
      <c r="E385" s="11">
        <f t="shared" si="33"/>
        <v>1139.7851969148307</v>
      </c>
      <c r="F385" s="11">
        <f t="shared" si="34"/>
        <v>188.53902618511486</v>
      </c>
      <c r="G385" s="10">
        <f t="shared" si="35"/>
        <v>55421.922658619624</v>
      </c>
    </row>
    <row r="386" spans="2:7" x14ac:dyDescent="0.3">
      <c r="B386" s="9">
        <f t="shared" si="30"/>
        <v>57436</v>
      </c>
      <c r="C386" s="10">
        <f t="shared" si="31"/>
        <v>55421.922658619624</v>
      </c>
      <c r="D386" s="11">
        <f t="shared" si="32"/>
        <v>1328.3242230999456</v>
      </c>
      <c r="E386" s="11">
        <f t="shared" si="33"/>
        <v>1143.5844809045468</v>
      </c>
      <c r="F386" s="11">
        <f t="shared" si="34"/>
        <v>184.73974219539875</v>
      </c>
      <c r="G386" s="10">
        <f t="shared" si="35"/>
        <v>54278.338177715079</v>
      </c>
    </row>
    <row r="387" spans="2:7" x14ac:dyDescent="0.3">
      <c r="B387" s="9">
        <f t="shared" si="30"/>
        <v>57466</v>
      </c>
      <c r="C387" s="10">
        <f t="shared" si="31"/>
        <v>54278.338177715079</v>
      </c>
      <c r="D387" s="11">
        <f t="shared" si="32"/>
        <v>1328.3242230999456</v>
      </c>
      <c r="E387" s="11">
        <f t="shared" si="33"/>
        <v>1147.3964291742286</v>
      </c>
      <c r="F387" s="11">
        <f t="shared" si="34"/>
        <v>180.92779392571694</v>
      </c>
      <c r="G387" s="10">
        <f t="shared" si="35"/>
        <v>53130.941748540848</v>
      </c>
    </row>
    <row r="388" spans="2:7" x14ac:dyDescent="0.3">
      <c r="B388" s="9">
        <f t="shared" si="30"/>
        <v>57497</v>
      </c>
      <c r="C388" s="10">
        <f t="shared" si="31"/>
        <v>53130.941748540848</v>
      </c>
      <c r="D388" s="11">
        <f t="shared" si="32"/>
        <v>1328.3242230999456</v>
      </c>
      <c r="E388" s="11">
        <f t="shared" si="33"/>
        <v>1151.2210839381428</v>
      </c>
      <c r="F388" s="11">
        <f t="shared" si="34"/>
        <v>177.10313916180283</v>
      </c>
      <c r="G388" s="10">
        <f t="shared" si="35"/>
        <v>51979.720664602704</v>
      </c>
    </row>
    <row r="389" spans="2:7" x14ac:dyDescent="0.3">
      <c r="B389" s="9">
        <f t="shared" si="30"/>
        <v>57527</v>
      </c>
      <c r="C389" s="10">
        <f t="shared" si="31"/>
        <v>51979.720664602704</v>
      </c>
      <c r="D389" s="11">
        <f t="shared" si="32"/>
        <v>1328.3242230999456</v>
      </c>
      <c r="E389" s="11">
        <f t="shared" si="33"/>
        <v>1155.05848755127</v>
      </c>
      <c r="F389" s="11">
        <f t="shared" si="34"/>
        <v>173.26573554867568</v>
      </c>
      <c r="G389" s="10">
        <f t="shared" si="35"/>
        <v>50824.662177051432</v>
      </c>
    </row>
    <row r="390" spans="2:7" x14ac:dyDescent="0.3">
      <c r="B390" s="9">
        <f t="shared" si="30"/>
        <v>57558</v>
      </c>
      <c r="C390" s="10">
        <f t="shared" si="31"/>
        <v>50824.662177051432</v>
      </c>
      <c r="D390" s="11">
        <f t="shared" si="32"/>
        <v>1328.3242230999456</v>
      </c>
      <c r="E390" s="11">
        <f t="shared" si="33"/>
        <v>1158.9086825097741</v>
      </c>
      <c r="F390" s="11">
        <f t="shared" si="34"/>
        <v>169.41554059017145</v>
      </c>
      <c r="G390" s="10">
        <f t="shared" si="35"/>
        <v>49665.753494541656</v>
      </c>
    </row>
    <row r="391" spans="2:7" x14ac:dyDescent="0.3">
      <c r="B391" s="9">
        <f t="shared" si="30"/>
        <v>57589</v>
      </c>
      <c r="C391" s="10">
        <f t="shared" si="31"/>
        <v>49665.753494541656</v>
      </c>
      <c r="D391" s="11">
        <f t="shared" si="32"/>
        <v>1328.3242230999456</v>
      </c>
      <c r="E391" s="11">
        <f t="shared" si="33"/>
        <v>1162.7717114514735</v>
      </c>
      <c r="F391" s="11">
        <f t="shared" si="34"/>
        <v>165.5525116484722</v>
      </c>
      <c r="G391" s="10">
        <f t="shared" si="35"/>
        <v>48502.981783090181</v>
      </c>
    </row>
    <row r="392" spans="2:7" x14ac:dyDescent="0.3">
      <c r="B392" s="9">
        <f t="shared" si="30"/>
        <v>57619</v>
      </c>
      <c r="C392" s="10">
        <f t="shared" si="31"/>
        <v>48502.981783090181</v>
      </c>
      <c r="D392" s="11">
        <f t="shared" si="32"/>
        <v>1328.3242230999456</v>
      </c>
      <c r="E392" s="11">
        <f t="shared" si="33"/>
        <v>1166.6476171563118</v>
      </c>
      <c r="F392" s="11">
        <f t="shared" si="34"/>
        <v>161.67660594363394</v>
      </c>
      <c r="G392" s="10">
        <f t="shared" si="35"/>
        <v>47336.334165933869</v>
      </c>
    </row>
    <row r="393" spans="2:7" x14ac:dyDescent="0.3">
      <c r="B393" s="9">
        <f t="shared" si="30"/>
        <v>57650</v>
      </c>
      <c r="C393" s="10">
        <f t="shared" si="31"/>
        <v>47336.334165933869</v>
      </c>
      <c r="D393" s="11">
        <f t="shared" si="32"/>
        <v>1328.3242230999456</v>
      </c>
      <c r="E393" s="11">
        <f t="shared" si="33"/>
        <v>1170.5364425468326</v>
      </c>
      <c r="F393" s="11">
        <f t="shared" si="34"/>
        <v>157.7877805531129</v>
      </c>
      <c r="G393" s="10">
        <f t="shared" si="35"/>
        <v>46165.797723387033</v>
      </c>
    </row>
    <row r="394" spans="2:7" x14ac:dyDescent="0.3">
      <c r="B394" s="9">
        <f t="shared" si="30"/>
        <v>57680</v>
      </c>
      <c r="C394" s="10">
        <f t="shared" si="31"/>
        <v>46165.797723387033</v>
      </c>
      <c r="D394" s="11">
        <f t="shared" si="32"/>
        <v>1328.3242230999456</v>
      </c>
      <c r="E394" s="11">
        <f t="shared" si="33"/>
        <v>1174.4382306886555</v>
      </c>
      <c r="F394" s="11">
        <f t="shared" si="34"/>
        <v>153.88599241129012</v>
      </c>
      <c r="G394" s="10">
        <f t="shared" si="35"/>
        <v>44991.359492698379</v>
      </c>
    </row>
    <row r="395" spans="2:7" x14ac:dyDescent="0.3">
      <c r="B395" s="9">
        <f t="shared" si="30"/>
        <v>57711</v>
      </c>
      <c r="C395" s="10">
        <f t="shared" si="31"/>
        <v>44991.359492698379</v>
      </c>
      <c r="D395" s="11">
        <f t="shared" si="32"/>
        <v>1328.3242230999456</v>
      </c>
      <c r="E395" s="11">
        <f t="shared" si="33"/>
        <v>1178.3530247909509</v>
      </c>
      <c r="F395" s="11">
        <f t="shared" si="34"/>
        <v>149.97119830899462</v>
      </c>
      <c r="G395" s="10">
        <f t="shared" si="35"/>
        <v>43813.006467907428</v>
      </c>
    </row>
    <row r="396" spans="2:7" x14ac:dyDescent="0.3">
      <c r="B396" s="9">
        <f t="shared" si="30"/>
        <v>57742</v>
      </c>
      <c r="C396" s="10">
        <f t="shared" si="31"/>
        <v>43813.006467907428</v>
      </c>
      <c r="D396" s="11">
        <f t="shared" si="32"/>
        <v>1328.3242230999456</v>
      </c>
      <c r="E396" s="11">
        <f t="shared" si="33"/>
        <v>1182.2808682069208</v>
      </c>
      <c r="F396" s="11">
        <f t="shared" si="34"/>
        <v>146.04335489302477</v>
      </c>
      <c r="G396" s="10">
        <f t="shared" si="35"/>
        <v>42630.725599700505</v>
      </c>
    </row>
    <row r="397" spans="2:7" x14ac:dyDescent="0.3">
      <c r="B397" s="9">
        <f t="shared" ref="B397:B430" si="36">EDATE(B396,1)</f>
        <v>57770</v>
      </c>
      <c r="C397" s="10">
        <f t="shared" ref="C397:C430" si="37">G396</f>
        <v>42630.725599700505</v>
      </c>
      <c r="D397" s="11">
        <f t="shared" ref="D397:D430" si="38">IF(G396&lt;=0.1,0,-PMT($C$6,$C$7,$C$3))</f>
        <v>1328.3242230999456</v>
      </c>
      <c r="E397" s="11">
        <f t="shared" ref="E397:E430" si="39">D397-F397</f>
        <v>1186.2218044342771</v>
      </c>
      <c r="F397" s="11">
        <f t="shared" ref="F397:F430" si="40">C397*$C$6</f>
        <v>142.10241866566835</v>
      </c>
      <c r="G397" s="10">
        <f t="shared" ref="G397:G430" si="41">C397-E397</f>
        <v>41444.503795266224</v>
      </c>
    </row>
    <row r="398" spans="2:7" x14ac:dyDescent="0.3">
      <c r="B398" s="9">
        <f t="shared" si="36"/>
        <v>57801</v>
      </c>
      <c r="C398" s="10">
        <f t="shared" si="37"/>
        <v>41444.503795266224</v>
      </c>
      <c r="D398" s="11">
        <f t="shared" si="38"/>
        <v>1328.3242230999456</v>
      </c>
      <c r="E398" s="11">
        <f t="shared" si="39"/>
        <v>1190.1758771157249</v>
      </c>
      <c r="F398" s="11">
        <f t="shared" si="40"/>
        <v>138.14834598422075</v>
      </c>
      <c r="G398" s="10">
        <f t="shared" si="41"/>
        <v>40254.327918150499</v>
      </c>
    </row>
    <row r="399" spans="2:7" x14ac:dyDescent="0.3">
      <c r="B399" s="9">
        <f t="shared" si="36"/>
        <v>57831</v>
      </c>
      <c r="C399" s="10">
        <f t="shared" si="37"/>
        <v>40254.327918150499</v>
      </c>
      <c r="D399" s="11">
        <f t="shared" si="38"/>
        <v>1328.3242230999456</v>
      </c>
      <c r="E399" s="11">
        <f t="shared" si="39"/>
        <v>1194.1431300394438</v>
      </c>
      <c r="F399" s="11">
        <f t="shared" si="40"/>
        <v>134.18109306050167</v>
      </c>
      <c r="G399" s="10">
        <f t="shared" si="41"/>
        <v>39060.184788111052</v>
      </c>
    </row>
    <row r="400" spans="2:7" x14ac:dyDescent="0.3">
      <c r="B400" s="9">
        <f t="shared" si="36"/>
        <v>57862</v>
      </c>
      <c r="C400" s="10">
        <f t="shared" si="37"/>
        <v>39060.184788111052</v>
      </c>
      <c r="D400" s="11">
        <f t="shared" si="38"/>
        <v>1328.3242230999456</v>
      </c>
      <c r="E400" s="11">
        <f t="shared" si="39"/>
        <v>1198.1236071395754</v>
      </c>
      <c r="F400" s="11">
        <f t="shared" si="40"/>
        <v>130.20061596037019</v>
      </c>
      <c r="G400" s="10">
        <f t="shared" si="41"/>
        <v>37862.061180971476</v>
      </c>
    </row>
    <row r="401" spans="2:7" x14ac:dyDescent="0.3">
      <c r="B401" s="9">
        <f t="shared" si="36"/>
        <v>57892</v>
      </c>
      <c r="C401" s="10">
        <f t="shared" si="37"/>
        <v>37862.061180971476</v>
      </c>
      <c r="D401" s="11">
        <f t="shared" si="38"/>
        <v>1328.3242230999456</v>
      </c>
      <c r="E401" s="11">
        <f t="shared" si="39"/>
        <v>1202.1173524967073</v>
      </c>
      <c r="F401" s="11">
        <f t="shared" si="40"/>
        <v>126.20687060323826</v>
      </c>
      <c r="G401" s="10">
        <f t="shared" si="41"/>
        <v>36659.943828474767</v>
      </c>
    </row>
    <row r="402" spans="2:7" x14ac:dyDescent="0.3">
      <c r="B402" s="9">
        <f t="shared" si="36"/>
        <v>57923</v>
      </c>
      <c r="C402" s="10">
        <f t="shared" si="37"/>
        <v>36659.943828474767</v>
      </c>
      <c r="D402" s="11">
        <f t="shared" si="38"/>
        <v>1328.3242230999456</v>
      </c>
      <c r="E402" s="11">
        <f t="shared" si="39"/>
        <v>1206.1244103383631</v>
      </c>
      <c r="F402" s="11">
        <f t="shared" si="40"/>
        <v>122.19981276158256</v>
      </c>
      <c r="G402" s="10">
        <f t="shared" si="41"/>
        <v>35453.819418136402</v>
      </c>
    </row>
    <row r="403" spans="2:7" x14ac:dyDescent="0.3">
      <c r="B403" s="9">
        <f t="shared" si="36"/>
        <v>57954</v>
      </c>
      <c r="C403" s="10">
        <f t="shared" si="37"/>
        <v>35453.819418136402</v>
      </c>
      <c r="D403" s="11">
        <f t="shared" si="38"/>
        <v>1328.3242230999456</v>
      </c>
      <c r="E403" s="11">
        <f t="shared" si="39"/>
        <v>1210.144825039491</v>
      </c>
      <c r="F403" s="11">
        <f t="shared" si="40"/>
        <v>118.17939806045467</v>
      </c>
      <c r="G403" s="10">
        <f t="shared" si="41"/>
        <v>34243.674593096912</v>
      </c>
    </row>
    <row r="404" spans="2:7" x14ac:dyDescent="0.3">
      <c r="B404" s="9">
        <f t="shared" si="36"/>
        <v>57984</v>
      </c>
      <c r="C404" s="10">
        <f t="shared" si="37"/>
        <v>34243.674593096912</v>
      </c>
      <c r="D404" s="11">
        <f t="shared" si="38"/>
        <v>1328.3242230999456</v>
      </c>
      <c r="E404" s="11">
        <f t="shared" si="39"/>
        <v>1214.1786411229559</v>
      </c>
      <c r="F404" s="11">
        <f t="shared" si="40"/>
        <v>114.14558197698972</v>
      </c>
      <c r="G404" s="10">
        <f t="shared" si="41"/>
        <v>33029.495951973957</v>
      </c>
    </row>
    <row r="405" spans="2:7" x14ac:dyDescent="0.3">
      <c r="B405" s="9">
        <f t="shared" si="36"/>
        <v>58015</v>
      </c>
      <c r="C405" s="10">
        <f t="shared" si="37"/>
        <v>33029.495951973957</v>
      </c>
      <c r="D405" s="11">
        <f t="shared" si="38"/>
        <v>1328.3242230999456</v>
      </c>
      <c r="E405" s="11">
        <f t="shared" si="39"/>
        <v>1218.2259032600323</v>
      </c>
      <c r="F405" s="11">
        <f t="shared" si="40"/>
        <v>110.0983198399132</v>
      </c>
      <c r="G405" s="10">
        <f t="shared" si="41"/>
        <v>31811.270048713923</v>
      </c>
    </row>
    <row r="406" spans="2:7" x14ac:dyDescent="0.3">
      <c r="B406" s="9">
        <f t="shared" si="36"/>
        <v>58045</v>
      </c>
      <c r="C406" s="10">
        <f t="shared" si="37"/>
        <v>31811.270048713923</v>
      </c>
      <c r="D406" s="11">
        <f t="shared" si="38"/>
        <v>1328.3242230999456</v>
      </c>
      <c r="E406" s="11">
        <f t="shared" si="39"/>
        <v>1222.2866562708991</v>
      </c>
      <c r="F406" s="11">
        <f t="shared" si="40"/>
        <v>106.03756682904641</v>
      </c>
      <c r="G406" s="10">
        <f t="shared" si="41"/>
        <v>30588.983392443024</v>
      </c>
    </row>
    <row r="407" spans="2:7" x14ac:dyDescent="0.3">
      <c r="B407" s="9">
        <f t="shared" si="36"/>
        <v>58076</v>
      </c>
      <c r="C407" s="10">
        <f t="shared" si="37"/>
        <v>30588.983392443024</v>
      </c>
      <c r="D407" s="11">
        <f t="shared" si="38"/>
        <v>1328.3242230999456</v>
      </c>
      <c r="E407" s="11">
        <f t="shared" si="39"/>
        <v>1226.3609451251355</v>
      </c>
      <c r="F407" s="11">
        <f t="shared" si="40"/>
        <v>101.96327797481008</v>
      </c>
      <c r="G407" s="10">
        <f t="shared" si="41"/>
        <v>29362.622447317888</v>
      </c>
    </row>
    <row r="408" spans="2:7" x14ac:dyDescent="0.3">
      <c r="B408" s="9">
        <f t="shared" si="36"/>
        <v>58107</v>
      </c>
      <c r="C408" s="10">
        <f t="shared" si="37"/>
        <v>29362.622447317888</v>
      </c>
      <c r="D408" s="11">
        <f t="shared" si="38"/>
        <v>1328.3242230999456</v>
      </c>
      <c r="E408" s="11">
        <f t="shared" si="39"/>
        <v>1230.4488149422193</v>
      </c>
      <c r="F408" s="11">
        <f t="shared" si="40"/>
        <v>97.875408157726298</v>
      </c>
      <c r="G408" s="10">
        <f t="shared" si="41"/>
        <v>28132.17363237567</v>
      </c>
    </row>
    <row r="409" spans="2:7" x14ac:dyDescent="0.3">
      <c r="B409" s="9">
        <f t="shared" si="36"/>
        <v>58135</v>
      </c>
      <c r="C409" s="10">
        <f t="shared" si="37"/>
        <v>28132.17363237567</v>
      </c>
      <c r="D409" s="11">
        <f t="shared" si="38"/>
        <v>1328.3242230999456</v>
      </c>
      <c r="E409" s="11">
        <f t="shared" si="39"/>
        <v>1234.5503109920267</v>
      </c>
      <c r="F409" s="11">
        <f t="shared" si="40"/>
        <v>93.773912107918903</v>
      </c>
      <c r="G409" s="10">
        <f t="shared" si="41"/>
        <v>26897.623321383642</v>
      </c>
    </row>
    <row r="410" spans="2:7" x14ac:dyDescent="0.3">
      <c r="B410" s="9">
        <f t="shared" si="36"/>
        <v>58166</v>
      </c>
      <c r="C410" s="10">
        <f t="shared" si="37"/>
        <v>26897.623321383642</v>
      </c>
      <c r="D410" s="11">
        <f t="shared" si="38"/>
        <v>1328.3242230999456</v>
      </c>
      <c r="E410" s="11">
        <f t="shared" si="39"/>
        <v>1238.6654786953334</v>
      </c>
      <c r="F410" s="11">
        <f t="shared" si="40"/>
        <v>89.65874440461215</v>
      </c>
      <c r="G410" s="10">
        <f t="shared" si="41"/>
        <v>25658.957842688309</v>
      </c>
    </row>
    <row r="411" spans="2:7" x14ac:dyDescent="0.3">
      <c r="B411" s="9">
        <f t="shared" si="36"/>
        <v>58196</v>
      </c>
      <c r="C411" s="10">
        <f t="shared" si="37"/>
        <v>25658.957842688309</v>
      </c>
      <c r="D411" s="11">
        <f t="shared" si="38"/>
        <v>1328.3242230999456</v>
      </c>
      <c r="E411" s="11">
        <f t="shared" si="39"/>
        <v>1242.7943636243178</v>
      </c>
      <c r="F411" s="11">
        <f t="shared" si="40"/>
        <v>85.529859475627703</v>
      </c>
      <c r="G411" s="10">
        <f t="shared" si="41"/>
        <v>24416.163479063991</v>
      </c>
    </row>
    <row r="412" spans="2:7" x14ac:dyDescent="0.3">
      <c r="B412" s="9">
        <f t="shared" si="36"/>
        <v>58227</v>
      </c>
      <c r="C412" s="10">
        <f t="shared" si="37"/>
        <v>24416.163479063991</v>
      </c>
      <c r="D412" s="11">
        <f t="shared" si="38"/>
        <v>1328.3242230999456</v>
      </c>
      <c r="E412" s="11">
        <f t="shared" si="39"/>
        <v>1246.9370115030656</v>
      </c>
      <c r="F412" s="11">
        <f t="shared" si="40"/>
        <v>81.387211596879979</v>
      </c>
      <c r="G412" s="10">
        <f t="shared" si="41"/>
        <v>23169.226467560926</v>
      </c>
    </row>
    <row r="413" spans="2:7" x14ac:dyDescent="0.3">
      <c r="B413" s="9">
        <f t="shared" si="36"/>
        <v>58257</v>
      </c>
      <c r="C413" s="10">
        <f t="shared" si="37"/>
        <v>23169.226467560926</v>
      </c>
      <c r="D413" s="11">
        <f t="shared" si="38"/>
        <v>1328.3242230999456</v>
      </c>
      <c r="E413" s="11">
        <f t="shared" si="39"/>
        <v>1251.0934682080758</v>
      </c>
      <c r="F413" s="11">
        <f t="shared" si="40"/>
        <v>77.230754891869751</v>
      </c>
      <c r="G413" s="10">
        <f t="shared" si="41"/>
        <v>21918.132999352849</v>
      </c>
    </row>
    <row r="414" spans="2:7" x14ac:dyDescent="0.3">
      <c r="B414" s="9">
        <f t="shared" si="36"/>
        <v>58288</v>
      </c>
      <c r="C414" s="10">
        <f t="shared" si="37"/>
        <v>21918.132999352849</v>
      </c>
      <c r="D414" s="11">
        <f t="shared" si="38"/>
        <v>1328.3242230999456</v>
      </c>
      <c r="E414" s="11">
        <f t="shared" si="39"/>
        <v>1255.2637797687694</v>
      </c>
      <c r="F414" s="11">
        <f t="shared" si="40"/>
        <v>73.060443331176174</v>
      </c>
      <c r="G414" s="10">
        <f t="shared" si="41"/>
        <v>20662.869219584078</v>
      </c>
    </row>
    <row r="415" spans="2:7" x14ac:dyDescent="0.3">
      <c r="B415" s="9">
        <f t="shared" si="36"/>
        <v>58319</v>
      </c>
      <c r="C415" s="10">
        <f t="shared" si="37"/>
        <v>20662.869219584078</v>
      </c>
      <c r="D415" s="11">
        <f t="shared" si="38"/>
        <v>1328.3242230999456</v>
      </c>
      <c r="E415" s="11">
        <f t="shared" si="39"/>
        <v>1259.4479923679987</v>
      </c>
      <c r="F415" s="11">
        <f t="shared" si="40"/>
        <v>68.876230731946933</v>
      </c>
      <c r="G415" s="10">
        <f t="shared" si="41"/>
        <v>19403.42122721608</v>
      </c>
    </row>
    <row r="416" spans="2:7" x14ac:dyDescent="0.3">
      <c r="B416" s="9">
        <f t="shared" si="36"/>
        <v>58349</v>
      </c>
      <c r="C416" s="10">
        <f t="shared" si="37"/>
        <v>19403.42122721608</v>
      </c>
      <c r="D416" s="11">
        <f t="shared" si="38"/>
        <v>1328.3242230999456</v>
      </c>
      <c r="E416" s="11">
        <f t="shared" si="39"/>
        <v>1263.6461523425587</v>
      </c>
      <c r="F416" s="11">
        <f t="shared" si="40"/>
        <v>64.678070757386934</v>
      </c>
      <c r="G416" s="10">
        <f t="shared" si="41"/>
        <v>18139.77507487352</v>
      </c>
    </row>
    <row r="417" spans="2:7" x14ac:dyDescent="0.3">
      <c r="B417" s="9">
        <f t="shared" si="36"/>
        <v>58380</v>
      </c>
      <c r="C417" s="10">
        <f t="shared" si="37"/>
        <v>18139.77507487352</v>
      </c>
      <c r="D417" s="11">
        <f t="shared" si="38"/>
        <v>1328.3242230999456</v>
      </c>
      <c r="E417" s="11">
        <f t="shared" si="39"/>
        <v>1267.8583061837005</v>
      </c>
      <c r="F417" s="11">
        <f t="shared" si="40"/>
        <v>60.465916916245071</v>
      </c>
      <c r="G417" s="10">
        <f t="shared" si="41"/>
        <v>16871.916768689818</v>
      </c>
    </row>
    <row r="418" spans="2:7" x14ac:dyDescent="0.3">
      <c r="B418" s="9">
        <f t="shared" si="36"/>
        <v>58410</v>
      </c>
      <c r="C418" s="10">
        <f t="shared" si="37"/>
        <v>16871.916768689818</v>
      </c>
      <c r="D418" s="11">
        <f t="shared" si="38"/>
        <v>1328.3242230999456</v>
      </c>
      <c r="E418" s="11">
        <f t="shared" si="39"/>
        <v>1272.0845005376461</v>
      </c>
      <c r="F418" s="11">
        <f t="shared" si="40"/>
        <v>56.239722562299399</v>
      </c>
      <c r="G418" s="10">
        <f t="shared" si="41"/>
        <v>15599.832268152171</v>
      </c>
    </row>
    <row r="419" spans="2:7" x14ac:dyDescent="0.3">
      <c r="B419" s="9">
        <f t="shared" si="36"/>
        <v>58441</v>
      </c>
      <c r="C419" s="10">
        <f t="shared" si="37"/>
        <v>15599.832268152171</v>
      </c>
      <c r="D419" s="11">
        <f t="shared" si="38"/>
        <v>1328.3242230999456</v>
      </c>
      <c r="E419" s="11">
        <f t="shared" si="39"/>
        <v>1276.3247822061051</v>
      </c>
      <c r="F419" s="11">
        <f t="shared" si="40"/>
        <v>51.999440893840571</v>
      </c>
      <c r="G419" s="10">
        <f t="shared" si="41"/>
        <v>14323.507485946066</v>
      </c>
    </row>
    <row r="420" spans="2:7" x14ac:dyDescent="0.3">
      <c r="B420" s="9">
        <f t="shared" si="36"/>
        <v>58472</v>
      </c>
      <c r="C420" s="10">
        <f t="shared" si="37"/>
        <v>14323.507485946066</v>
      </c>
      <c r="D420" s="11">
        <f t="shared" si="38"/>
        <v>1328.3242230999456</v>
      </c>
      <c r="E420" s="11">
        <f t="shared" si="39"/>
        <v>1280.5791981467921</v>
      </c>
      <c r="F420" s="11">
        <f t="shared" si="40"/>
        <v>47.745024953153553</v>
      </c>
      <c r="G420" s="10">
        <f t="shared" si="41"/>
        <v>13042.928287799274</v>
      </c>
    </row>
    <row r="421" spans="2:7" x14ac:dyDescent="0.3">
      <c r="B421" s="9">
        <f t="shared" si="36"/>
        <v>58501</v>
      </c>
      <c r="C421" s="10">
        <f t="shared" si="37"/>
        <v>13042.928287799274</v>
      </c>
      <c r="D421" s="11">
        <f t="shared" si="38"/>
        <v>1328.3242230999456</v>
      </c>
      <c r="E421" s="11">
        <f t="shared" si="39"/>
        <v>1284.8477954739481</v>
      </c>
      <c r="F421" s="11">
        <f t="shared" si="40"/>
        <v>43.47642762599758</v>
      </c>
      <c r="G421" s="10">
        <f t="shared" si="41"/>
        <v>11758.080492325325</v>
      </c>
    </row>
    <row r="422" spans="2:7" x14ac:dyDescent="0.3">
      <c r="B422" s="9">
        <f t="shared" si="36"/>
        <v>58532</v>
      </c>
      <c r="C422" s="10">
        <f t="shared" si="37"/>
        <v>11758.080492325325</v>
      </c>
      <c r="D422" s="11">
        <f t="shared" si="38"/>
        <v>1328.3242230999456</v>
      </c>
      <c r="E422" s="11">
        <f t="shared" si="39"/>
        <v>1289.1306214588612</v>
      </c>
      <c r="F422" s="11">
        <f t="shared" si="40"/>
        <v>39.19360164108442</v>
      </c>
      <c r="G422" s="10">
        <f t="shared" si="41"/>
        <v>10468.949870866465</v>
      </c>
    </row>
    <row r="423" spans="2:7" x14ac:dyDescent="0.3">
      <c r="B423" s="9">
        <f t="shared" si="36"/>
        <v>58562</v>
      </c>
      <c r="C423" s="10">
        <f t="shared" si="37"/>
        <v>10468.949870866465</v>
      </c>
      <c r="D423" s="11">
        <f t="shared" si="38"/>
        <v>1328.3242230999456</v>
      </c>
      <c r="E423" s="11">
        <f t="shared" si="39"/>
        <v>1293.4277235303907</v>
      </c>
      <c r="F423" s="11">
        <f t="shared" si="40"/>
        <v>34.896499569554884</v>
      </c>
      <c r="G423" s="10">
        <f t="shared" si="41"/>
        <v>9175.5221473360743</v>
      </c>
    </row>
    <row r="424" spans="2:7" x14ac:dyDescent="0.3">
      <c r="B424" s="9">
        <f t="shared" si="36"/>
        <v>58593</v>
      </c>
      <c r="C424" s="10">
        <f t="shared" si="37"/>
        <v>9175.5221473360743</v>
      </c>
      <c r="D424" s="11">
        <f t="shared" si="38"/>
        <v>1328.3242230999456</v>
      </c>
      <c r="E424" s="11">
        <f t="shared" si="39"/>
        <v>1297.7391492754921</v>
      </c>
      <c r="F424" s="11">
        <f t="shared" si="40"/>
        <v>30.585073824453584</v>
      </c>
      <c r="G424" s="10">
        <f t="shared" si="41"/>
        <v>7877.782998060582</v>
      </c>
    </row>
    <row r="425" spans="2:7" x14ac:dyDescent="0.3">
      <c r="B425" s="9">
        <f t="shared" si="36"/>
        <v>58623</v>
      </c>
      <c r="C425" s="10">
        <f t="shared" si="37"/>
        <v>7877.782998060582</v>
      </c>
      <c r="D425" s="11">
        <f t="shared" si="38"/>
        <v>1328.3242230999456</v>
      </c>
      <c r="E425" s="11">
        <f t="shared" si="39"/>
        <v>1302.0649464397436</v>
      </c>
      <c r="F425" s="11">
        <f t="shared" si="40"/>
        <v>26.259276660201941</v>
      </c>
      <c r="G425" s="10">
        <f t="shared" si="41"/>
        <v>6575.7180516208382</v>
      </c>
    </row>
    <row r="426" spans="2:7" x14ac:dyDescent="0.3">
      <c r="B426" s="9">
        <f t="shared" si="36"/>
        <v>58654</v>
      </c>
      <c r="C426" s="10">
        <f t="shared" si="37"/>
        <v>6575.7180516208382</v>
      </c>
      <c r="D426" s="11">
        <f t="shared" si="38"/>
        <v>1328.3242230999456</v>
      </c>
      <c r="E426" s="11">
        <f t="shared" si="39"/>
        <v>1306.4051629278761</v>
      </c>
      <c r="F426" s="11">
        <f t="shared" si="40"/>
        <v>21.919060172069461</v>
      </c>
      <c r="G426" s="10">
        <f t="shared" si="41"/>
        <v>5269.3128886929626</v>
      </c>
    </row>
    <row r="427" spans="2:7" x14ac:dyDescent="0.3">
      <c r="B427" s="9">
        <f t="shared" si="36"/>
        <v>58685</v>
      </c>
      <c r="C427" s="10">
        <f t="shared" si="37"/>
        <v>5269.3128886929626</v>
      </c>
      <c r="D427" s="11">
        <f t="shared" si="38"/>
        <v>1328.3242230999456</v>
      </c>
      <c r="E427" s="11">
        <f t="shared" si="39"/>
        <v>1310.7598468043025</v>
      </c>
      <c r="F427" s="11">
        <f t="shared" si="40"/>
        <v>17.564376295643211</v>
      </c>
      <c r="G427" s="10">
        <f t="shared" si="41"/>
        <v>3958.5530418886601</v>
      </c>
    </row>
    <row r="428" spans="2:7" x14ac:dyDescent="0.3">
      <c r="B428" s="9">
        <f t="shared" si="36"/>
        <v>58715</v>
      </c>
      <c r="C428" s="10">
        <f t="shared" si="37"/>
        <v>3958.5530418886601</v>
      </c>
      <c r="D428" s="11">
        <f t="shared" si="38"/>
        <v>1328.3242230999456</v>
      </c>
      <c r="E428" s="11">
        <f t="shared" si="39"/>
        <v>1315.1290462936499</v>
      </c>
      <c r="F428" s="11">
        <f t="shared" si="40"/>
        <v>13.195176806295535</v>
      </c>
      <c r="G428" s="10">
        <f t="shared" si="41"/>
        <v>2643.4239955950102</v>
      </c>
    </row>
    <row r="429" spans="2:7" x14ac:dyDescent="0.3">
      <c r="B429" s="9">
        <f t="shared" si="36"/>
        <v>58746</v>
      </c>
      <c r="C429" s="10">
        <f t="shared" si="37"/>
        <v>2643.4239955950102</v>
      </c>
      <c r="D429" s="11">
        <f t="shared" si="38"/>
        <v>1328.3242230999456</v>
      </c>
      <c r="E429" s="11">
        <f t="shared" si="39"/>
        <v>1319.5128097812956</v>
      </c>
      <c r="F429" s="11">
        <f t="shared" si="40"/>
        <v>8.8114133186500343</v>
      </c>
      <c r="G429" s="10">
        <f t="shared" si="41"/>
        <v>1323.9111858137146</v>
      </c>
    </row>
    <row r="430" spans="2:7" x14ac:dyDescent="0.3">
      <c r="B430" s="20">
        <f t="shared" si="36"/>
        <v>58776</v>
      </c>
      <c r="C430" s="21">
        <f t="shared" si="37"/>
        <v>1323.9111858137146</v>
      </c>
      <c r="D430" s="22">
        <f t="shared" si="38"/>
        <v>1328.3242230999456</v>
      </c>
      <c r="E430" s="22">
        <f t="shared" si="39"/>
        <v>1323.9111858138999</v>
      </c>
      <c r="F430" s="22">
        <f t="shared" si="40"/>
        <v>4.4130372860457152</v>
      </c>
      <c r="G430" s="21">
        <f t="shared" si="41"/>
        <v>-1.8530954548623413E-10</v>
      </c>
    </row>
  </sheetData>
  <pageMargins left="0.7" right="0.7" top="0.75" bottom="0.75" header="0.3" footer="0.3"/>
  <pageSetup paperSize="9" orientation="portrait" horizontalDpi="1200" verticalDpi="12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Mutuo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di pietro</dc:creator>
  <cp:lastModifiedBy>francesco di pietro</cp:lastModifiedBy>
  <dcterms:created xsi:type="dcterms:W3CDTF">2026-01-09T13:57:48Z</dcterms:created>
  <dcterms:modified xsi:type="dcterms:W3CDTF">2026-01-10T23:29:04Z</dcterms:modified>
</cp:coreProperties>
</file>